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shboard" sheetId="1" r:id="rId1"/>
    <sheet name="Inputs" sheetId="2" r:id="rId2"/>
    <sheet name="Consensus" sheetId="3" r:id="rId3"/>
    <sheet name="MyModel" sheetId="4" r:id="rId4"/>
    <sheet name="Valuation" sheetId="5" r:id="rId5"/>
    <sheet name="Scenarios" sheetId="6" r:id="rId6"/>
    <sheet name="Charts" sheetId="7" r:id="rId7"/>
    <sheet name="SectorKPIs" sheetId="8" r:id="rId8"/>
  </sheets>
  <definedNames>
    <definedName name="AvgImplied">Valuation!$C$15</definedName>
    <definedName name="BeatThresh">Inputs!$D$38</definedName>
    <definedName name="Beta">Inputs!$D$31</definedName>
    <definedName name="ConsEBITDA">Consensus!$D$5</definedName>
    <definedName name="ConsEPS">Consensus!$D$7</definedName>
    <definedName name="ConsNI">Consensus!$D$6</definedName>
    <definedName name="ConsRev">Consensus!$D$4</definedName>
    <definedName name="CostDebt">Inputs!$D$32</definedName>
    <definedName name="ERP">Inputs!$D$30</definedName>
    <definedName name="EV">Valuation!$C$4</definedName>
    <definedName name="EbitdaMarginMy">Inputs!$D$16</definedName>
    <definedName name="EbitdaMy">MyModel!$C$5</definedName>
    <definedName name="EpsMy">MyModel!$C$7</definedName>
    <definedName name="FairValue">Valuation!$C$34</definedName>
    <definedName name="FcfBase">MyModel!$C$8</definedName>
    <definedName name="FcfConv">Inputs!$D$18</definedName>
    <definedName name="GrowthFade">Inputs!$D$15</definedName>
    <definedName name="KpiNames">SectorKPIs!$C$4:$I$8</definedName>
    <definedName name="KpiValues">SectorKPIs!$C$11:$I$15</definedName>
    <definedName name="MissThresh">Inputs!$D$39</definedName>
    <definedName name="NetDebt">Inputs!$D$8</definedName>
    <definedName name="NiMarginMy">Inputs!$D$17</definedName>
    <definedName name="NiMy">MyModel!$C$6</definedName>
    <definedName name="PeerEVEBITDA">Inputs!$D$23</definedName>
    <definedName name="PeerEVRev">Inputs!$D$25</definedName>
    <definedName name="PeerPE">Inputs!$D$24</definedName>
    <definedName name="PeerPS">Inputs!$D$26</definedName>
    <definedName name="Price">Inputs!$D$6</definedName>
    <definedName name="PriorEBITDA">Consensus!$C$5</definedName>
    <definedName name="PriorNI">Consensus!$C$6</definedName>
    <definedName name="PriorRev">Consensus!$C$4</definedName>
    <definedName name="ReactSens">Inputs!$D$40</definedName>
    <definedName name="RevGrowthMy">Inputs!$D$14</definedName>
    <definedName name="RevMy">MyModel!$C$4</definedName>
    <definedName name="RiskFree">Inputs!$D$29</definedName>
    <definedName name="ScenarioMult">Inputs!$D$20</definedName>
    <definedName name="ScenarioName">Inputs!$D$19</definedName>
    <definedName name="SectorList">SectorKPIs!$C$3:$I$3</definedName>
    <definedName name="SelectedSector">Dashboard!$G$3</definedName>
    <definedName name="Shares">Inputs!$D$7</definedName>
    <definedName name="TaxRate">Inputs!$D$9</definedName>
    <definedName name="TermGrowth">Inputs!$D$35</definedName>
    <definedName name="Ticker">Inputs!$D$5</definedName>
    <definedName name="WACC">Valuation!$C$20</definedName>
    <definedName name="WeightDebt">Inputs!$D$34</definedName>
    <definedName name="WeightEquity">Inputs!$D$33</definedName>
  </definedNames>
  <calcPr calcId="0" fullCalcOnLoad="1"/>
</workbook>
</file>

<file path=xl/sharedStrings.xml><?xml version="1.0" encoding="utf-8"?>
<sst xmlns="http://schemas.openxmlformats.org/spreadsheetml/2006/main" count="251" uniqueCount="192">
  <si>
    <t>SECTOR CONSENSUS  vs  MY MODEL  —  EQUITY DASHBOARD</t>
  </si>
  <si>
    <t>Company</t>
  </si>
  <si>
    <t>Sector</t>
  </si>
  <si>
    <t>Tech/SaaS</t>
  </si>
  <si>
    <t>Current Price</t>
  </si>
  <si>
    <t>Ticker</t>
  </si>
  <si>
    <t>Next Earnings</t>
  </si>
  <si>
    <t>Shares (M)</t>
  </si>
  <si>
    <t>REVENUE ($M)</t>
  </si>
  <si>
    <t>EBITDA ($M)</t>
  </si>
  <si>
    <t>NET INCOME ($M)</t>
  </si>
  <si>
    <t>My</t>
  </si>
  <si>
    <t>Consensus</t>
  </si>
  <si>
    <t>YoY</t>
  </si>
  <si>
    <t>vs Cons</t>
  </si>
  <si>
    <t>Signal</t>
  </si>
  <si>
    <t>SECTOR KPI SUMMARY (auto-updates with sector)</t>
  </si>
  <si>
    <t>VALUATION</t>
  </si>
  <si>
    <t>EV/EBITDA</t>
  </si>
  <si>
    <t>P/E</t>
  </si>
  <si>
    <t>EV/Rev</t>
  </si>
  <si>
    <t>P/S</t>
  </si>
  <si>
    <t>DCF Fair Value</t>
  </si>
  <si>
    <t>Avg Implied</t>
  </si>
  <si>
    <t>DCF Upside</t>
  </si>
  <si>
    <t>EARNINGS SIGNAL  —  Beat/Miss &amp; implied stock move</t>
  </si>
  <si>
    <t>Blended Surprise</t>
  </si>
  <si>
    <t>Implied Stock Move</t>
  </si>
  <si>
    <t>Rule</t>
  </si>
  <si>
    <t>Tip: change the Sector dropdown (orange cell, G3) or any Inputs value — the entire model recomputes.</t>
  </si>
  <si>
    <t>Metric</t>
  </si>
  <si>
    <t>My Model</t>
  </si>
  <si>
    <t>Revenue</t>
  </si>
  <si>
    <t>EBITDA</t>
  </si>
  <si>
    <t>Net Income</t>
  </si>
  <si>
    <t>INPUTS  —  edit anything; the model recomputes live</t>
  </si>
  <si>
    <t>GENERAL</t>
  </si>
  <si>
    <t>LOAD EXAMPLE TEMPLATE</t>
  </si>
  <si>
    <t>Nimbus Cloud Inc</t>
  </si>
  <si>
    <t>Copy a row into General to switch sample company:</t>
  </si>
  <si>
    <t>NIMB</t>
  </si>
  <si>
    <t>Current Price ($)</t>
  </si>
  <si>
    <t>Price</t>
  </si>
  <si>
    <t>Shares</t>
  </si>
  <si>
    <t>NetDebt</t>
  </si>
  <si>
    <t>Shares Outstanding (M)</t>
  </si>
  <si>
    <t>Net Debt ($M)  [negative = net cash]</t>
  </si>
  <si>
    <t>MetroMart Retail</t>
  </si>
  <si>
    <t>MMRT</t>
  </si>
  <si>
    <t>Consumer/Retail</t>
  </si>
  <si>
    <t>Tax Rate</t>
  </si>
  <si>
    <t>Helios Energy</t>
  </si>
  <si>
    <t>HELI</t>
  </si>
  <si>
    <t>Energy</t>
  </si>
  <si>
    <t>Next Earnings Date</t>
  </si>
  <si>
    <t>Selected Sector (from Dashboard)</t>
  </si>
  <si>
    <t>MY ASSUMPTIONS</t>
  </si>
  <si>
    <t>Revenue Growth (Year 1)</t>
  </si>
  <si>
    <t>Growth Fade (per year)</t>
  </si>
  <si>
    <t>EBITDA Margin</t>
  </si>
  <si>
    <t>Net Margin</t>
  </si>
  <si>
    <t>FCF Conversion</t>
  </si>
  <si>
    <t>Scenario</t>
  </si>
  <si>
    <t>Base</t>
  </si>
  <si>
    <t>Scenario Growth Multiplier</t>
  </si>
  <si>
    <t>CONSENSUS / PEER MULTIPLES</t>
  </si>
  <si>
    <t>Peer EV/EBITDA</t>
  </si>
  <si>
    <t>Peer P/E</t>
  </si>
  <si>
    <t>Peer EV/Revenue</t>
  </si>
  <si>
    <t>Peer P/S</t>
  </si>
  <si>
    <t>DCF / WACC</t>
  </si>
  <si>
    <t>Risk-free Rate</t>
  </si>
  <si>
    <t>Equity Risk Premium</t>
  </si>
  <si>
    <t>Beta</t>
  </si>
  <si>
    <t>Pre-tax Cost of Debt</t>
  </si>
  <si>
    <t>Weight — Equity</t>
  </si>
  <si>
    <t>Weight — Debt</t>
  </si>
  <si>
    <t>Terminal Growth</t>
  </si>
  <si>
    <t>BEAT / MISS RULES (editable)</t>
  </si>
  <si>
    <t>Beat Threshold (surprise %)</t>
  </si>
  <si>
    <t>Miss Threshold (surprise %)</t>
  </si>
  <si>
    <t>Reaction Sensitivity (move per 1% surprise)</t>
  </si>
  <si>
    <t>REAL-TIME DATA (placeholders — wire to a feed)</t>
  </si>
  <si>
    <t>Live Price</t>
  </si>
  <si>
    <t>Live Consensus Revenue ($M)</t>
  </si>
  <si>
    <t>Live Consensus EPS</t>
  </si>
  <si>
    <t>Last Updated</t>
  </si>
  <si>
    <t>MARKET CONSENSUS</t>
  </si>
  <si>
    <t>Metric ($M)</t>
  </si>
  <si>
    <t>Prior FY (Actual)</t>
  </si>
  <si>
    <t>Current FY (Consensus)</t>
  </si>
  <si>
    <t>NTM (Consensus)</t>
  </si>
  <si>
    <t>EPS ($)</t>
  </si>
  <si>
    <t>MY MODEL  —  projections from assumptions</t>
  </si>
  <si>
    <t>My Projection</t>
  </si>
  <si>
    <t>Formula / Driver</t>
  </si>
  <si>
    <t>Prior Rev × (1 + growth × scenario)</t>
  </si>
  <si>
    <t>Revenue × EBITDA margin</t>
  </si>
  <si>
    <t>Revenue × net margin</t>
  </si>
  <si>
    <t>Net income ÷ shares</t>
  </si>
  <si>
    <t>FCF (Year 0, $M)</t>
  </si>
  <si>
    <t>EBITDA × (1-tax) × FCF conversion</t>
  </si>
  <si>
    <t>VALUATION  —  multiples, DCF &amp; sensitivity</t>
  </si>
  <si>
    <t>MARKET MULTIPLES (My Model)</t>
  </si>
  <si>
    <t>Enterprise Value ($M)</t>
  </si>
  <si>
    <t>EV / EBITDA</t>
  </si>
  <si>
    <t>P / E</t>
  </si>
  <si>
    <t>EV / Revenue</t>
  </si>
  <si>
    <t>P / S</t>
  </si>
  <si>
    <t>IMPLIED PRICE (Peer Multiples)</t>
  </si>
  <si>
    <t>via EV/EBITDA</t>
  </si>
  <si>
    <t>via P/E</t>
  </si>
  <si>
    <t>via EV/Revenue</t>
  </si>
  <si>
    <t>via P/S</t>
  </si>
  <si>
    <t>Average Implied Price</t>
  </si>
  <si>
    <t>WACC</t>
  </si>
  <si>
    <t>Cost of Equity</t>
  </si>
  <si>
    <t>After-tax Cost of Debt</t>
  </si>
  <si>
    <t>DCF — 5-YEAR PROJECTION</t>
  </si>
  <si>
    <t>Year</t>
  </si>
  <si>
    <t>Rev Growth</t>
  </si>
  <si>
    <t>Revenue ($M)</t>
  </si>
  <si>
    <t>FCF ($M)</t>
  </si>
  <si>
    <t>PV of explicit FCF</t>
  </si>
  <si>
    <t>Terminal Value</t>
  </si>
  <si>
    <t>PV of Terminal Value</t>
  </si>
  <si>
    <t>Enterprise Value (DCF)</t>
  </si>
  <si>
    <t>Equity Value (DCF)</t>
  </si>
  <si>
    <t>Fair Value / Share</t>
  </si>
  <si>
    <t>Upside vs Price</t>
  </si>
  <si>
    <t>SENSITIVITY — Fair Value / Share  (WACC × Terminal Growth)</t>
  </si>
  <si>
    <t>WACC ↓ / g →</t>
  </si>
  <si>
    <t>SCENARIOS &amp; SENSITIVITY</t>
  </si>
  <si>
    <t>Implied Rev ($M)</t>
  </si>
  <si>
    <t>Implied EBITDA</t>
  </si>
  <si>
    <t>Fair Value</t>
  </si>
  <si>
    <t>Upside</t>
  </si>
  <si>
    <t>Bull</t>
  </si>
  <si>
    <t>Bear</t>
  </si>
  <si>
    <t>TORNADO — Fair Value swing to ±20% driver moves</t>
  </si>
  <si>
    <t>Driver</t>
  </si>
  <si>
    <t>FV @ -20%</t>
  </si>
  <si>
    <t>FV @ +20%</t>
  </si>
  <si>
    <t>Swing</t>
  </si>
  <si>
    <t>Revenue Growth</t>
  </si>
  <si>
    <t>Net Debt</t>
  </si>
  <si>
    <t>Shares Out</t>
  </si>
  <si>
    <t>CHARTS</t>
  </si>
  <si>
    <t>Active-Sector KPI</t>
  </si>
  <si>
    <t>Value</t>
  </si>
  <si>
    <t>Net Income Bridge</t>
  </si>
  <si>
    <t>Consensus NI</t>
  </si>
  <si>
    <t>Revenue Beat</t>
  </si>
  <si>
    <t>Margin / Other</t>
  </si>
  <si>
    <t>My NI</t>
  </si>
  <si>
    <t>SECTOR KPI TEMPLATES  —  driven by SelectedSector</t>
  </si>
  <si>
    <t>KPI Names →</t>
  </si>
  <si>
    <t>Healthcare/Biotech</t>
  </si>
  <si>
    <t>Industrials</t>
  </si>
  <si>
    <t>Financials</t>
  </si>
  <si>
    <t>Other</t>
  </si>
  <si>
    <t>ARR ($M)</t>
  </si>
  <si>
    <t>Same-Store Sales (%)</t>
  </si>
  <si>
    <t>R&amp;D % of Rev (%)</t>
  </si>
  <si>
    <t>Book-to-Bill (x)</t>
  </si>
  <si>
    <t>Net Interest Margin (%)</t>
  </si>
  <si>
    <t>Production (mboe/d)</t>
  </si>
  <si>
    <t>Revenue Growth (%)</t>
  </si>
  <si>
    <t>Net Rev Retention (%)</t>
  </si>
  <si>
    <t>Gross Margin (%)</t>
  </si>
  <si>
    <t>Pipeline Assets (#)</t>
  </si>
  <si>
    <t>Capacity Util (%)</t>
  </si>
  <si>
    <t>Efficiency Ratio (%)</t>
  </si>
  <si>
    <t>Realized ($/boe)</t>
  </si>
  <si>
    <t>Rule of 40 (%)</t>
  </si>
  <si>
    <t>Inventory Turns (x)</t>
  </si>
  <si>
    <t>Patients (k)</t>
  </si>
  <si>
    <t>Backlog ($M)</t>
  </si>
  <si>
    <t>ROE (%)</t>
  </si>
  <si>
    <t>Lifting Cost ($/boe)</t>
  </si>
  <si>
    <t>Operating Margin (%)</t>
  </si>
  <si>
    <t>Store Count (#)</t>
  </si>
  <si>
    <t>Tier 1 Capital (%)</t>
  </si>
  <si>
    <t>Reserve Life (yr)</t>
  </si>
  <si>
    <t>FCF Margin (%)</t>
  </si>
  <si>
    <t>CAC Payback (mo)</t>
  </si>
  <si>
    <t>Online Mix (%)</t>
  </si>
  <si>
    <t>Cash Runway (mo)</t>
  </si>
  <si>
    <t>ROIC (%)</t>
  </si>
  <si>
    <t>Loan Growth (%)</t>
  </si>
  <si>
    <t>FCF Yield (%)</t>
  </si>
  <si>
    <t>KPI Values →</t>
  </si>
</sst>
</file>

<file path=xl/styles.xml><?xml version="1.0" encoding="utf-8"?>
<styleSheet xmlns="http://schemas.openxmlformats.org/spreadsheetml/2006/main">
  <numFmts count="7">
    <numFmt numFmtId="164" formatCode="$#,##0.0"/>
    <numFmt numFmtId="165" formatCode="$#,##0.00"/>
    <numFmt numFmtId="166" formatCode="0.0&quot;x&quot;"/>
    <numFmt numFmtId="167" formatCode="0.0%"/>
    <numFmt numFmtId="168" formatCode="MMM D, YYYY"/>
    <numFmt numFmtId="169" formatCode="#,##0.0"/>
    <numFmt numFmtId="170" formatCode="#,##0"/>
  </numFmts>
  <fonts count="15">
    <font>
      <sz val="11"/>
      <color theme="1"/>
      <name val="Calibri"/>
      <family val="2"/>
      <scheme val="minor"/>
    </font>
    <font>
      <b/>
      <sz val="14"/>
      <color rgb="FFFFFFFF"/>
    </font>
    <font>
      <b/>
    </font>
    <font>
      <b/>
      <color rgb="FFFFFFFF"/>
    </font>
    <font>
      <color rgb="FF1A1A1A"/>
    </font>
    <font>
      <b/>
      <sz val="11"/>
      <color rgb="FFFFFFFF"/>
    </font>
    <font>
      <i/>
      <color rgb="FF2E5C9A"/>
    </font>
    <font>
      <b/>
      <color rgb="FF006100"/>
    </font>
    <font>
      <b/>
      <color rgb="FF2E5C9A"/>
    </font>
    <font>
      <b/>
      <sz val="9"/>
      <color rgb="FF2E5C9A"/>
    </font>
    <font>
      <b/>
      <sz val="14"/>
    </font>
    <font>
      <b/>
      <sz val="9"/>
      <color rgb="FFFFFFFF"/>
    </font>
    <font>
      <b val="0"/>
    </font>
    <font>
      <b/>
      <color rgb="FF9C6500"/>
    </font>
    <font>
      <b/>
      <sz val="13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305496"/>
        <bgColor rgb="FF305496"/>
      </patternFill>
    </fill>
    <fill>
      <patternFill patternType="solid">
        <fgColor rgb="FFF2F6FC"/>
        <bgColor rgb="FFF2F6FC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2E5C9A"/>
        <bgColor rgb="FF2E5C9A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/>
    <xf numFmtId="165" fontId="0" fillId="0" borderId="0" xfId="0" applyNumberFormat="1"/>
    <xf numFmtId="0" fontId="4" fillId="0" borderId="0" xfId="0" applyFont="1"/>
    <xf numFmtId="0" fontId="5" fillId="3" borderId="0" xfId="0" applyFont="1" applyFill="1" applyAlignment="1">
      <alignment horizontal="left"/>
    </xf>
    <xf numFmtId="166" fontId="0" fillId="4" borderId="1" xfId="0" applyNumberFormat="1" applyFill="1" applyBorder="1"/>
    <xf numFmtId="167" fontId="0" fillId="4" borderId="1" xfId="0" applyNumberFormat="1" applyFill="1" applyBorder="1"/>
    <xf numFmtId="0" fontId="2" fillId="5" borderId="0" xfId="0" applyFont="1" applyFill="1"/>
    <xf numFmtId="0" fontId="0" fillId="4" borderId="1" xfId="0" applyFill="1" applyBorder="1"/>
    <xf numFmtId="165" fontId="0" fillId="4" borderId="1" xfId="0" applyNumberFormat="1" applyFill="1" applyBorder="1"/>
    <xf numFmtId="167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/>
    <xf numFmtId="167" fontId="2" fillId="5" borderId="0" xfId="0" applyNumberFormat="1" applyFont="1" applyFill="1"/>
    <xf numFmtId="164" fontId="0" fillId="4" borderId="1" xfId="0" applyNumberFormat="1" applyFill="1" applyBorder="1"/>
    <xf numFmtId="168" fontId="0" fillId="4" borderId="1" xfId="0" applyNumberFormat="1" applyFill="1" applyBorder="1"/>
    <xf numFmtId="0" fontId="6" fillId="0" borderId="0" xfId="0" applyFont="1"/>
    <xf numFmtId="0" fontId="2" fillId="5" borderId="0" xfId="0" applyFont="1" applyFill="1" applyAlignment="1">
      <alignment horizontal="center"/>
    </xf>
    <xf numFmtId="169" fontId="0" fillId="4" borderId="1" xfId="0" applyNumberFormat="1" applyFill="1" applyBorder="1"/>
    <xf numFmtId="165" fontId="7" fillId="6" borderId="0" xfId="0" applyNumberFormat="1" applyFont="1" applyFill="1"/>
    <xf numFmtId="170" fontId="0" fillId="4" borderId="1" xfId="0" applyNumberFormat="1" applyFill="1" applyBorder="1"/>
    <xf numFmtId="165" fontId="2" fillId="5" borderId="0" xfId="0" applyNumberFormat="1" applyFont="1" applyFill="1"/>
    <xf numFmtId="0" fontId="8" fillId="0" borderId="0" xfId="0" applyFont="1"/>
    <xf numFmtId="0" fontId="3" fillId="7" borderId="0" xfId="0" applyFont="1" applyFill="1" applyAlignment="1">
      <alignment horizontal="center"/>
    </xf>
    <xf numFmtId="0" fontId="4" fillId="4" borderId="1" xfId="0" applyFont="1" applyFill="1" applyBorder="1"/>
    <xf numFmtId="0" fontId="9" fillId="0" borderId="0" xfId="0" applyFont="1" applyAlignment="1">
      <alignment horizontal="center"/>
    </xf>
    <xf numFmtId="167" fontId="2" fillId="4" borderId="0" xfId="0" applyNumberFormat="1" applyFont="1" applyFill="1" applyAlignment="1">
      <alignment horizontal="center"/>
    </xf>
    <xf numFmtId="167" fontId="2" fillId="0" borderId="0" xfId="0" applyNumberFormat="1" applyFont="1"/>
    <xf numFmtId="167" fontId="2" fillId="5" borderId="0" xfId="0" applyNumberFormat="1" applyFont="1" applyFill="1" applyAlignment="1">
      <alignment horizontal="center"/>
    </xf>
    <xf numFmtId="0" fontId="9" fillId="0" borderId="0" xfId="0" applyFont="1"/>
    <xf numFmtId="167" fontId="2" fillId="0" borderId="0" xfId="0" applyNumberFormat="1" applyFont="1" applyAlignment="1">
      <alignment horizontal="center"/>
    </xf>
    <xf numFmtId="169" fontId="10" fillId="0" borderId="0" xfId="0" applyNumberFormat="1" applyFont="1"/>
    <xf numFmtId="0" fontId="11" fillId="3" borderId="0" xfId="0" applyFont="1" applyFill="1"/>
    <xf numFmtId="166" fontId="2" fillId="4" borderId="0" xfId="0" applyNumberFormat="1" applyFont="1" applyFill="1" applyAlignment="1">
      <alignment horizontal="center"/>
    </xf>
    <xf numFmtId="167" fontId="12" fillId="4" borderId="1" xfId="0" applyNumberFormat="1" applyFont="1" applyFill="1" applyBorder="1" applyAlignment="1">
      <alignment horizontal="right"/>
    </xf>
    <xf numFmtId="170" fontId="0" fillId="0" borderId="0" xfId="0" applyNumberFormat="1"/>
    <xf numFmtId="165" fontId="2" fillId="4" borderId="0" xfId="0" applyNumberFormat="1" applyFont="1" applyFill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168" fontId="0" fillId="0" borderId="0" xfId="0" applyNumberFormat="1"/>
    <xf numFmtId="0" fontId="2" fillId="4" borderId="1" xfId="0" applyFont="1" applyFill="1" applyBorder="1" applyAlignment="1">
      <alignment horizontal="right"/>
    </xf>
    <xf numFmtId="165" fontId="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9" fontId="0" fillId="0" borderId="0" xfId="0" applyNumberFormat="1"/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chart>
    <c:title>
      <c:tx>
        <c:rich>
          <a:bodyPr/>
          <a:p>
            <a:r>
              <a:rPr/>
              <a:t>Consensus vs My Model ($M)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v>Consensus</c:v>
          </c:tx>
          <c:cat>
            <c:strRef>
              <c:f>Dashboard!$B$44:$B$46</c:f>
            </c:strRef>
          </c:cat>
          <c:val>
            <c:numRef>
              <c:f>Dashboard!$C$44:$C$46</c:f>
            </c:numRef>
          </c:val>
        </c:ser>
        <c:ser>
          <c:idx val="1"/>
          <c:order val="1"/>
          <c:tx>
            <c:v>My Model</c:v>
          </c:tx>
          <c:cat>
            <c:strRef>
              <c:f>Dashboard!$B$44:$B$46</c:f>
            </c:strRef>
          </c:cat>
          <c:val>
            <c:numRef>
              <c:f>Dashboard!$D$44:$D$46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cross"/>
        <c:minorTickMark val="cross"/>
        <c:tickLblPos val="nextTo"/>
        <c:crossAx val="222222222"/>
        <c:crosses val="autoZero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p>
                <a:r>
                  <a:rPr/>
                  <a:t>$M</a:t>
                </a:r>
              </a:p>
            </c:rich>
          </c:tx>
        </c:title>
        <c:majorTickMark val="cross"/>
        <c:minorTickMark val="cross"/>
        <c:tickLblPos val="nextTo"/>
        <c:crossAx val="111111111"/>
        <c:crosses val="autoZero"/>
      </c:valAx>
    </c:plotArea>
    <c:legend>
      <c:legendPos val="b"/>
    </c:legend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chart>
    <c:title>
      <c:tx>
        <c:rich>
          <a:bodyPr/>
          <a:p>
            <a:r>
              <a:rPr/>
              <a:t>Consensus vs My Model ($M)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v>Consensus</c:v>
          </c:tx>
          <c:cat>
            <c:strRef>
              <c:f>Charts!$A$4:$A$6</c:f>
            </c:strRef>
          </c:cat>
          <c:val>
            <c:numRef>
              <c:f>Charts!$B$4:$B$6</c:f>
            </c:numRef>
          </c:val>
        </c:ser>
        <c:ser>
          <c:idx val="1"/>
          <c:order val="1"/>
          <c:tx>
            <c:v>My Model</c:v>
          </c:tx>
          <c:cat>
            <c:strRef>
              <c:f>Charts!$A$4:$A$6</c:f>
            </c:strRef>
          </c:cat>
          <c:val>
            <c:numRef>
              <c:f>Charts!$C$4:$C$6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cross"/>
        <c:minorTickMark val="cross"/>
        <c:tickLblPos val="nextTo"/>
        <c:crossAx val="222222222"/>
        <c:crosses val="autoZero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p>
                <a:r>
                  <a:rPr/>
                  <a:t>$M</a:t>
                </a:r>
              </a:p>
            </c:rich>
          </c:tx>
        </c:title>
        <c:majorTickMark val="cross"/>
        <c:minorTickMark val="cross"/>
        <c:tickLblPos val="nextTo"/>
        <c:crossAx val="111111111"/>
        <c:crosses val="autoZero"/>
      </c:valAx>
    </c:plotArea>
    <c:legend>
      <c:legendPos val="b"/>
    </c:legend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chart>
    <c:title>
      <c:tx>
        <c:rich>
          <a:bodyPr/>
          <a:p>
            <a:r>
              <a:rPr/>
              <a:t>Sector KPI Profile</a:t>
            </a:r>
          </a:p>
        </c:rich>
      </c:tx>
    </c:title>
    <c:plotArea>
      <c:radarChart>
        <c:radarStyle val="standard"/>
        <c:ser>
          <c:idx val="0"/>
          <c:order val="0"/>
          <c:tx>
            <c:v>Active Sector</c:v>
          </c:tx>
          <c:cat>
            <c:strRef>
              <c:f>Charts!$A$10:$A$14</c:f>
            </c:strRef>
          </c:cat>
          <c:val>
            <c:numRef>
              <c:f>Charts!$B$10:$B$14</c:f>
            </c:numRef>
          </c:val>
        </c:ser>
        <c:axId val="111111111"/>
        <c:axId val="222222222"/>
      </c:radarChart>
      <c:catAx>
        <c:axId val="111111111"/>
        <c:scaling>
          <c:orientation val="minMax"/>
        </c:scaling>
        <c:delete val="0"/>
        <c:axPos val="b"/>
        <c:majorTickMark val="cross"/>
        <c:minorTickMark val="cross"/>
        <c:tickLblPos val="nextTo"/>
        <c:crossAx val="222222222"/>
        <c:crosses val="autoZero"/>
      </c:catAx>
      <c:valAx>
        <c:axId val="222222222"/>
        <c:scaling>
          <c:orientation val="minMax"/>
        </c:scaling>
        <c:delete val="0"/>
        <c:axPos val="l"/>
        <c:majorTickMark val="cross"/>
        <c:minorTickMark val="cross"/>
        <c:tickLblPos val="nextTo"/>
        <c:crossAx val="111111111"/>
        <c:crosses val="autoZero"/>
      </c:valAx>
    </c:plotArea>
    <c:legend>
      <c:legendPos val="b"/>
    </c:legend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chart>
    <c:title>
      <c:tx>
        <c:rich>
          <a:bodyPr/>
          <a:p>
            <a:r>
              <a:rPr/>
              <a:t>Net Income Bridge ($M)</a:t>
            </a:r>
          </a:p>
        </c:rich>
      </c:tx>
    </c:title>
    <c:plotArea>
      <c:barChart>
        <c:barDir val="col"/>
        <c:ser>
          <c:idx val="0"/>
          <c:order val="0"/>
          <c:tx>
            <c:v>Net Income</c:v>
          </c:tx>
          <c:cat>
            <c:strRef>
              <c:f>Charts!$A$18:$A$21</c:f>
            </c:strRef>
          </c:cat>
          <c:val>
            <c:numRef>
              <c:f>Charts!$B$18:$B$21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cross"/>
        <c:minorTickMark val="cross"/>
        <c:tickLblPos val="nextTo"/>
        <c:crossAx val="222222222"/>
        <c:crosses val="autoZero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p>
                <a:r>
                  <a:rPr/>
                  <a:t>$M</a:t>
                </a:r>
              </a:p>
            </c:rich>
          </c:tx>
        </c:title>
        <c:majorTickMark val="cross"/>
        <c:minorTickMark val="cross"/>
        <c:tickLblPos val="nextTo"/>
        <c:crossAx val="111111111"/>
        <c:crosses val="autoZero"/>
      </c:valAx>
    </c:plotArea>
    <c:legend>
      <c:legendPos val="b"/>
    </c:legend>
  </c:char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42</xdr:row>
      <xdr:rowOff>0</xdr:rowOff>
    </xdr:from>
    <xdr:ext cx="6096000" cy="2667000"/>
    <xdr:graphicFrame>
      <xdr:nvGraphicFramePr>
        <xdr:cNvPr id="2" name="Consensus vs My Model ($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0</xdr:colOff>
      <xdr:row>2</xdr:row>
      <xdr:rowOff>0</xdr:rowOff>
    </xdr:from>
    <xdr:ext cx="6096000" cy="2667000"/>
    <xdr:graphicFrame>
      <xdr:nvGraphicFramePr>
        <xdr:cNvPr id="2" name="Consensus vs My Model ($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  <xdr:oneCellAnchor>
    <xdr:from>
      <xdr:col>4</xdr:col>
      <xdr:colOff>0</xdr:colOff>
      <xdr:row>18</xdr:row>
      <xdr:rowOff>0</xdr:rowOff>
    </xdr:from>
    <xdr:ext cx="6096000" cy="2667000"/>
    <xdr:graphicFrame>
      <xdr:nvGraphicFramePr>
        <xdr:cNvPr id="3" name="Sector KPI Profil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oneCellAnchor>
  <xdr:oneCellAnchor>
    <xdr:from>
      <xdr:col>4</xdr:col>
      <xdr:colOff>0</xdr:colOff>
      <xdr:row>34</xdr:row>
      <xdr:rowOff>0</xdr:rowOff>
    </xdr:from>
    <xdr:ext cx="6096000" cy="2667000"/>
    <xdr:graphicFrame>
      <xdr:nvGraphicFramePr>
        <xdr:cNvPr id="4" name="Net Income Bridge ($M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ColWidth="8.42578125" defaultRowHeight="15"/>
  <cols>
    <col min="1" max="1" width="10.42578125" customWidth="1"/>
    <col min="2" max="12" width="13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>
      <c r="A3" s="25" t="s">
        <v>1</v>
      </c>
      <c r="B3" t="str">
        <f>Inputs!D4</f>
        <v>Nimbus Cloud Inc</v>
      </c>
      <c r="E3" s="25" t="s">
        <v>2</v>
      </c>
      <c r="G3" s="44" t="s">
        <v>3</v>
      </c>
      <c r="I3" s="25" t="s">
        <v>4</v>
      </c>
      <c r="J3">
        <f>Price</f>
        <v>45</v>
      </c>
      <c r="K3" s="43"/>
    </row>
    <row r="4">
      <c r="A4" s="25" t="s">
        <v>5</v>
      </c>
      <c r="B4" t="str">
        <f>Inputs!D5</f>
        <v>NIMB</v>
      </c>
      <c r="E4" s="25" t="s">
        <v>6</v>
      </c>
      <c r="F4" s="41">
        <f>Inputs!D10</f>
        <v>46231</v>
      </c>
      <c r="G4" s="41"/>
      <c r="I4" s="25" t="s">
        <v>7</v>
      </c>
      <c r="J4">
        <f>Shares</f>
        <v>100</v>
      </c>
      <c r="K4" s="38"/>
    </row>
    <row r="6">
      <c r="B6" s="26" t="s">
        <v>8</v>
      </c>
      <c r="C6" s="26"/>
      <c r="D6" s="26"/>
      <c r="F6" s="26" t="s">
        <v>9</v>
      </c>
      <c r="G6" s="26"/>
      <c r="H6" s="26"/>
      <c r="J6" s="26" t="s">
        <v>10</v>
      </c>
      <c r="K6" s="26"/>
      <c r="L6" s="26"/>
    </row>
    <row r="7">
      <c r="B7" s="27" t="s">
        <v>11</v>
      </c>
      <c r="C7" s="40">
        <f>RevMy</f>
        <v>1160</v>
      </c>
      <c r="D7" s="11"/>
      <c r="F7" s="27" t="s">
        <v>11</v>
      </c>
      <c r="G7" s="40">
        <f>EbitdaMy</f>
        <v>301.6</v>
      </c>
      <c r="H7" s="11"/>
      <c r="J7" s="27" t="s">
        <v>11</v>
      </c>
      <c r="K7" s="40">
        <f>NiMy</f>
        <v>156.60000000000002</v>
      </c>
      <c r="L7" s="11"/>
    </row>
    <row r="8">
      <c r="B8" s="27" t="s">
        <v>12</v>
      </c>
      <c r="C8" s="40">
        <f>ConsRev</f>
        <v>1150</v>
      </c>
      <c r="D8" s="11"/>
      <c r="F8" s="27" t="s">
        <v>12</v>
      </c>
      <c r="G8" s="40">
        <f>ConsEBITDA</f>
        <v>295</v>
      </c>
      <c r="H8" s="11"/>
      <c r="J8" s="27" t="s">
        <v>12</v>
      </c>
      <c r="K8" s="40">
        <f>ConsNI</f>
        <v>150</v>
      </c>
      <c r="L8" s="11"/>
    </row>
    <row r="9">
      <c r="B9" s="27" t="s">
        <v>13</v>
      </c>
      <c r="C9" s="37">
        <f>RevMy/PriorRev-1</f>
        <v>0.15999999999999992</v>
      </c>
      <c r="D9" s="11"/>
      <c r="F9" s="27" t="s">
        <v>13</v>
      </c>
      <c r="G9" s="37">
        <f>EbitdaMy/PriorEBITDA-1</f>
        <v>0.20640000000000014</v>
      </c>
      <c r="H9" s="11"/>
      <c r="J9" s="27" t="s">
        <v>13</v>
      </c>
      <c r="K9" s="37">
        <f>NiMy/PriorNI-1</f>
        <v>0.30500000000000016</v>
      </c>
      <c r="L9" s="11"/>
    </row>
    <row r="10">
      <c r="B10" s="27" t="s">
        <v>14</v>
      </c>
      <c r="C10" s="37">
        <f>RevMy/ConsRev-1</f>
        <v>0.008695652173912993</v>
      </c>
      <c r="D10" s="11"/>
      <c r="F10" s="27" t="s">
        <v>14</v>
      </c>
      <c r="G10" s="37">
        <f>EbitdaMy/ConsEBITDA-1</f>
        <v>0.022372881355932295</v>
      </c>
      <c r="H10" s="11"/>
      <c r="J10" s="27" t="s">
        <v>14</v>
      </c>
      <c r="K10" s="37">
        <f>NiMy/ConsNI-1</f>
        <v>0.04400000000000026</v>
      </c>
      <c r="L10" s="11"/>
    </row>
    <row r="11">
      <c r="B11" s="27" t="s">
        <v>15</v>
      </c>
      <c r="C11" s="42" t="str">
        <f>IF(RevMy/ConsRev-1&gt;=BeatThresh,"BEAT",IF(RevMy/ConsRev-1&lt;=MissThresh,"MISS","IN-LINE"))</f>
        <v>IN-LINE</v>
      </c>
      <c r="D11" s="11"/>
      <c r="F11" s="27" t="s">
        <v>15</v>
      </c>
      <c r="G11" s="42" t="str">
        <f>IF(EbitdaMy/ConsEBITDA-1&gt;=BeatThresh,"BEAT",IF(EbitdaMy/ConsEBITDA-1&lt;=MissThresh,"MISS","IN-LINE"))</f>
        <v>BEAT</v>
      </c>
      <c r="H11" s="11"/>
      <c r="J11" s="27" t="s">
        <v>15</v>
      </c>
      <c r="K11" s="42" t="str">
        <f>IF(NiMy/ConsNI-1&gt;=BeatThresh,"BEAT",IF(NiMy/ConsNI-1&lt;=MissThresh,"MISS","IN-LINE"))</f>
        <v>BEAT</v>
      </c>
      <c r="L11" s="11"/>
    </row>
    <row r="13">
      <c r="B13" s="7" t="s">
        <v>16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B14" s="32" t="str">
        <f>INDEX(KpiNames,1,MATCH(SelectedSector,SectorList,0))</f>
        <v>ARR ($M)</v>
      </c>
      <c r="C14" s="32"/>
      <c r="D14" s="32" t="str">
        <f>INDEX(KpiNames,2,MATCH(SelectedSector,SectorList,0))</f>
        <v>Net Rev Retention (%)</v>
      </c>
      <c r="E14" s="32"/>
      <c r="F14" s="32" t="str">
        <f>INDEX(KpiNames,3,MATCH(SelectedSector,SectorList,0))</f>
        <v>Rule of 40 (%)</v>
      </c>
      <c r="G14" s="32"/>
      <c r="H14" s="32" t="str">
        <f>INDEX(KpiNames,4,MATCH(SelectedSector,SectorList,0))</f>
        <v>Gross Margin (%)</v>
      </c>
      <c r="I14" s="32"/>
      <c r="J14" s="32" t="str">
        <f>INDEX(KpiNames,5,MATCH(SelectedSector,SectorList,0))</f>
        <v>CAC Payback (mo)</v>
      </c>
      <c r="K14" s="32"/>
    </row>
    <row r="15">
      <c r="B15" s="34">
        <f>INDEX(KpiValues,1,MATCH(SelectedSector,SectorList,0))</f>
        <v>1200</v>
      </c>
      <c r="C15" s="34"/>
      <c r="D15" s="34">
        <f>INDEX(KpiValues,2,MATCH(SelectedSector,SectorList,0))</f>
        <v>118</v>
      </c>
      <c r="E15" s="34"/>
      <c r="F15" s="34">
        <f>INDEX(KpiValues,3,MATCH(SelectedSector,SectorList,0))</f>
        <v>46</v>
      </c>
      <c r="G15" s="34"/>
      <c r="H15" s="34">
        <f>INDEX(KpiValues,4,MATCH(SelectedSector,SectorList,0))</f>
        <v>78</v>
      </c>
      <c r="I15" s="34"/>
      <c r="J15" s="34">
        <f>INDEX(KpiValues,5,MATCH(SelectedSector,SectorList,0))</f>
        <v>14</v>
      </c>
      <c r="K15" s="34"/>
    </row>
    <row r="17">
      <c r="B17" s="7" t="s">
        <v>17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B18" s="28" t="s">
        <v>18</v>
      </c>
      <c r="C18" s="28" t="s">
        <v>19</v>
      </c>
      <c r="D18" s="28" t="s">
        <v>20</v>
      </c>
      <c r="E18" s="28" t="s">
        <v>21</v>
      </c>
      <c r="F18" s="28" t="s">
        <v>22</v>
      </c>
      <c r="G18" s="28" t="s">
        <v>23</v>
      </c>
      <c r="H18" s="28" t="s">
        <v>4</v>
      </c>
      <c r="I18" s="28" t="s">
        <v>24</v>
      </c>
    </row>
    <row r="19">
      <c r="B19" s="36">
        <f>Valuation!C5</f>
        <v>14.423076923076922</v>
      </c>
      <c r="C19" s="36">
        <f>Valuation!C6</f>
        <v>28.73563218390804</v>
      </c>
      <c r="D19" s="36">
        <f>Valuation!C7</f>
        <v>3.75</v>
      </c>
      <c r="E19" s="36">
        <f>Valuation!C8</f>
        <v>3.8793103448275863</v>
      </c>
      <c r="F19" s="39">
        <f>FairValue</f>
        <v>45.85775303860559</v>
      </c>
      <c r="G19" s="39">
        <f>AvgImplied</f>
        <v>48.165</v>
      </c>
      <c r="H19" s="39">
        <f>Price</f>
        <v>45</v>
      </c>
      <c r="I19" s="29">
        <f>Valuation!C35</f>
        <v>0.0190611786356798</v>
      </c>
    </row>
    <row r="21">
      <c r="B21" s="7" t="s">
        <v>25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B22" s="3" t="s">
        <v>26</v>
      </c>
      <c r="D22" s="33">
        <f>AVERAGE(RevMy/ConsRev-1,EbitdaMy/ConsEBITDA-1,NiMy/ConsNI-1)</f>
        <v>0.025022844509948516</v>
      </c>
      <c r="F22" s="3" t="s">
        <v>15</v>
      </c>
      <c r="H22" s="45" t="str">
        <f>IF(D22&gt;=BeatThresh,"LIKELY BEAT  ▲",IF(D22&lt;=MissThresh,"LIKELY MISS  ▼","IN-LINE  ►"))</f>
        <v>LIKELY BEAT  ▲</v>
      </c>
    </row>
    <row r="23">
      <c r="B23" s="3" t="s">
        <v>27</v>
      </c>
      <c r="D23" s="33">
        <f>D22*ReactSens</f>
        <v>0.20018275607958813</v>
      </c>
      <c r="F23" s="3" t="s">
        <v>28</v>
      </c>
      <c r="H23" t="str">
        <f>("Beat&gt;"&amp;TEXT(BeatThresh,"0.0%")&amp;" / Miss&lt;"&amp;TEXT(MissThresh,"0.0%"))</f>
        <v>Beat&gt;2.0% / Miss&lt;-2.0%</v>
      </c>
    </row>
    <row r="40">
      <c r="B40" s="19" t="s">
        <v>29</v>
      </c>
    </row>
    <row r="43">
      <c r="B43" s="35" t="s">
        <v>30</v>
      </c>
      <c r="C43" s="35" t="s">
        <v>12</v>
      </c>
      <c r="D43" s="35" t="s">
        <v>31</v>
      </c>
    </row>
    <row r="44">
      <c r="B44" s="3" t="s">
        <v>32</v>
      </c>
      <c r="C44" s="1">
        <f>ConsRev</f>
        <v>1150</v>
      </c>
      <c r="D44" s="1">
        <f>RevMy</f>
        <v>1160</v>
      </c>
    </row>
    <row r="45">
      <c r="B45" s="3" t="s">
        <v>33</v>
      </c>
      <c r="C45" s="1">
        <f>ConsEBITDA</f>
        <v>295</v>
      </c>
      <c r="D45" s="1">
        <f>EbitdaMy</f>
        <v>301.6</v>
      </c>
    </row>
    <row r="46">
      <c r="B46" s="3" t="s">
        <v>34</v>
      </c>
      <c r="C46" s="1">
        <f>ConsNI</f>
        <v>150</v>
      </c>
      <c r="D46" s="1">
        <f>NiMy</f>
        <v>156.60000000000002</v>
      </c>
    </row>
  </sheetData>
  <mergeCells count="35">
    <mergeCell ref="D14:E14"/>
    <mergeCell ref="C7:D7"/>
    <mergeCell ref="J14:K14"/>
    <mergeCell ref="B15:C15"/>
    <mergeCell ref="B21:L21"/>
    <mergeCell ref="K8:L8"/>
    <mergeCell ref="B17:L17"/>
    <mergeCell ref="H22:L22"/>
    <mergeCell ref="C9:D9"/>
    <mergeCell ref="J6:L6"/>
    <mergeCell ref="B40:L40"/>
    <mergeCell ref="H23:L23"/>
    <mergeCell ref="K11:L11"/>
    <mergeCell ref="F15:G15"/>
    <mergeCell ref="J15:K15"/>
    <mergeCell ref="G9:H9"/>
    <mergeCell ref="K9:L9"/>
    <mergeCell ref="F6:H6"/>
    <mergeCell ref="G10:H10"/>
    <mergeCell ref="F14:G14"/>
    <mergeCell ref="A1:L1"/>
    <mergeCell ref="G7:H7"/>
    <mergeCell ref="K7:L7"/>
    <mergeCell ref="H14:I14"/>
    <mergeCell ref="D15:E15"/>
    <mergeCell ref="H15:I15"/>
    <mergeCell ref="G8:H8"/>
    <mergeCell ref="C10:D10"/>
    <mergeCell ref="G11:H11"/>
    <mergeCell ref="B6:D6"/>
    <mergeCell ref="B13:L13"/>
    <mergeCell ref="C11:D11"/>
    <mergeCell ref="K10:L10"/>
    <mergeCell ref="C8:D8"/>
    <mergeCell ref="B14:C14"/>
  </mergeCells>
  <conditionalFormatting sqref="H22">
    <cfRule type="expression" dxfId="0" priority="1">
      <formula>=$D$22&gt;=BeatThresh</formula>
    </cfRule>
    <cfRule type="expression" dxfId="1" priority="2">
      <formula>=$D$22&lt;=MissThresh</formula>
    </cfRule>
  </conditionalFormatting>
  <conditionalFormatting sqref="D22">
    <cfRule dxfId="0" type="cellIs" priority="3" operator="greaterThan">
      <formula>0.0</formula>
    </cfRule>
    <cfRule dxfId="1" type="cellIs" priority="4" operator="lessThan">
      <formula>0.0</formula>
    </cfRule>
  </conditionalFormatting>
  <conditionalFormatting sqref="I19">
    <cfRule dxfId="0" type="cellIs" priority="5" operator="greaterThan">
      <formula>0.0</formula>
    </cfRule>
    <cfRule dxfId="1" type="cellIs" priority="6" operator="lessThan">
      <formula>0.0</formula>
    </cfRule>
  </conditionalFormatting>
  <conditionalFormatting sqref="K11:L11">
    <cfRule type="expression" dxfId="0" priority="7">
      <formula>=K11="BEAT"</formula>
    </cfRule>
    <cfRule type="expression" dxfId="1" priority="8">
      <formula>=K11="MISS"</formula>
    </cfRule>
  </conditionalFormatting>
  <conditionalFormatting sqref="K10:L10">
    <cfRule dxfId="0" type="cellIs" priority="9" operator="greaterThanOrEqual">
      <formula>0.02</formula>
    </cfRule>
    <cfRule dxfId="1" type="cellIs" priority="10" operator="lessThanOrEqual">
      <formula>-0.02</formula>
    </cfRule>
    <cfRule dxfId="2" type="cellIs" priority="11" operator="between">
      <formula>-0.02</formula>
      <formula>0.02</formula>
    </cfRule>
  </conditionalFormatting>
  <conditionalFormatting sqref="K9:L9">
    <cfRule dxfId="0" type="cellIs" priority="12" operator="greaterThan">
      <formula>0.0</formula>
    </cfRule>
    <cfRule dxfId="1" type="cellIs" priority="13" operator="lessThan">
      <formula>0.0</formula>
    </cfRule>
  </conditionalFormatting>
  <conditionalFormatting sqref="G11:H11">
    <cfRule type="expression" dxfId="0" priority="14">
      <formula>=G11="BEAT"</formula>
    </cfRule>
    <cfRule type="expression" dxfId="1" priority="15">
      <formula>=G11="MISS"</formula>
    </cfRule>
  </conditionalFormatting>
  <conditionalFormatting sqref="G10:H10">
    <cfRule dxfId="0" type="cellIs" priority="16" operator="greaterThanOrEqual">
      <formula>0.02</formula>
    </cfRule>
    <cfRule dxfId="1" type="cellIs" priority="17" operator="lessThanOrEqual">
      <formula>-0.02</formula>
    </cfRule>
    <cfRule dxfId="2" type="cellIs" priority="18" operator="between">
      <formula>-0.02</formula>
      <formula>0.02</formula>
    </cfRule>
  </conditionalFormatting>
  <conditionalFormatting sqref="G9:H9">
    <cfRule dxfId="0" type="cellIs" priority="19" operator="greaterThan">
      <formula>0.0</formula>
    </cfRule>
    <cfRule dxfId="1" type="cellIs" priority="20" operator="lessThan">
      <formula>0.0</formula>
    </cfRule>
  </conditionalFormatting>
  <conditionalFormatting sqref="C11:D11">
    <cfRule type="expression" dxfId="0" priority="21">
      <formula>=C11="BEAT"</formula>
    </cfRule>
    <cfRule type="expression" dxfId="1" priority="22">
      <formula>=C11="MISS"</formula>
    </cfRule>
  </conditionalFormatting>
  <conditionalFormatting sqref="C10:D10">
    <cfRule dxfId="0" type="cellIs" priority="23" operator="greaterThanOrEqual">
      <formula>0.02</formula>
    </cfRule>
    <cfRule dxfId="1" type="cellIs" priority="24" operator="lessThanOrEqual">
      <formula>-0.02</formula>
    </cfRule>
    <cfRule dxfId="2" type="cellIs" priority="25" operator="between">
      <formula>-0.02</formula>
      <formula>0.02</formula>
    </cfRule>
  </conditionalFormatting>
  <conditionalFormatting sqref="C9:D9">
    <cfRule dxfId="0" type="cellIs" priority="26" operator="greaterThan">
      <formula>0.0</formula>
    </cfRule>
    <cfRule dxfId="1" type="cellIs" priority="27" operator="lessThan">
      <formula>0.0</formula>
    </cfRule>
  </conditionalFormatting>
  <dataValidations count="1">
    <dataValidation type="list" allowBlank="1" showInputMessage="1" showErrorMessage="1" sqref="G3">
      <formula1>"Tech/SaaS,Consumer/Retail,Healthcare/Biotech,Industrials,Financials,Energy,Other"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FormatPr defaultColWidth="8.42578125" defaultRowHeight="15"/>
  <cols>
    <col min="1" max="1" width="3.5703125" customWidth="1"/>
    <col min="2" max="2" width="32.140625" customWidth="1"/>
    <col min="3" max="3" width="2.140625" customWidth="1"/>
    <col min="4" max="4" width="20.7109375" customWidth="1"/>
    <col min="5" max="5" width="3.5703125" customWidth="1"/>
    <col min="6" max="6" width="36.42578125" customWidth="1"/>
  </cols>
  <sheetData>
    <row r="1">
      <c r="A1" s="2" t="s">
        <v>35</v>
      </c>
      <c r="B1" s="2"/>
      <c r="C1" s="2"/>
      <c r="D1" s="2"/>
      <c r="E1" s="2"/>
      <c r="F1" s="2"/>
    </row>
    <row r="3">
      <c r="B3" s="7" t="s">
        <v>36</v>
      </c>
      <c r="C3" s="7"/>
      <c r="D3" s="7"/>
      <c r="F3" s="7" t="s">
        <v>37</v>
      </c>
      <c r="G3" s="7"/>
      <c r="H3" s="7"/>
      <c r="I3" s="7"/>
      <c r="J3" s="7"/>
      <c r="K3" s="7"/>
    </row>
    <row r="4">
      <c r="B4" s="6" t="s">
        <v>1</v>
      </c>
      <c r="D4" s="11" t="s">
        <v>38</v>
      </c>
      <c r="F4" s="19" t="s">
        <v>39</v>
      </c>
    </row>
    <row r="5">
      <c r="B5" s="6" t="s">
        <v>5</v>
      </c>
      <c r="D5" s="11" t="s">
        <v>40</v>
      </c>
    </row>
    <row r="6">
      <c r="B6" s="6" t="s">
        <v>41</v>
      </c>
      <c r="D6" s="12">
        <v>45</v>
      </c>
      <c r="F6" s="10" t="s">
        <v>1</v>
      </c>
      <c r="G6" s="10" t="s">
        <v>5</v>
      </c>
      <c r="H6" s="10" t="s">
        <v>2</v>
      </c>
      <c r="I6" s="10" t="s">
        <v>42</v>
      </c>
      <c r="J6" s="10" t="s">
        <v>43</v>
      </c>
      <c r="K6" s="10" t="s">
        <v>44</v>
      </c>
    </row>
    <row r="7">
      <c r="B7" s="6" t="s">
        <v>45</v>
      </c>
      <c r="D7" s="23">
        <v>100</v>
      </c>
      <c r="F7" t="s">
        <v>38</v>
      </c>
      <c r="G7" t="s">
        <v>40</v>
      </c>
      <c r="H7" t="s">
        <v>3</v>
      </c>
      <c r="I7">
        <v>45</v>
      </c>
      <c r="J7">
        <v>100</v>
      </c>
      <c r="K7">
        <v>-150</v>
      </c>
    </row>
    <row r="8">
      <c r="B8" s="6" t="s">
        <v>46</v>
      </c>
      <c r="D8" s="17">
        <v>-150</v>
      </c>
      <c r="F8" t="s">
        <v>47</v>
      </c>
      <c r="G8" t="s">
        <v>48</v>
      </c>
      <c r="H8" t="s">
        <v>49</v>
      </c>
      <c r="I8">
        <v>62</v>
      </c>
      <c r="J8">
        <v>210</v>
      </c>
      <c r="K8">
        <v>480</v>
      </c>
    </row>
    <row r="9">
      <c r="B9" s="6" t="s">
        <v>50</v>
      </c>
      <c r="D9" s="9">
        <v>0.21</v>
      </c>
      <c r="F9" t="s">
        <v>51</v>
      </c>
      <c r="G9" t="s">
        <v>52</v>
      </c>
      <c r="H9" t="s">
        <v>53</v>
      </c>
      <c r="I9">
        <v>95</v>
      </c>
      <c r="J9">
        <v>400</v>
      </c>
      <c r="K9">
        <v>6000</v>
      </c>
    </row>
    <row r="10">
      <c r="B10" s="6" t="s">
        <v>54</v>
      </c>
      <c r="D10" s="18">
        <v>46231</v>
      </c>
    </row>
    <row r="11">
      <c r="B11" s="6" t="s">
        <v>55</v>
      </c>
      <c r="D11" s="11" t="str">
        <f>SelectedSector</f>
        <v>Tech/SaaS</v>
      </c>
    </row>
    <row r="13">
      <c r="B13" s="7" t="s">
        <v>56</v>
      </c>
      <c r="C13" s="7"/>
      <c r="D13" s="7"/>
    </row>
    <row r="14">
      <c r="B14" s="6" t="s">
        <v>57</v>
      </c>
      <c r="D14" s="9">
        <v>0.16</v>
      </c>
    </row>
    <row r="15">
      <c r="B15" s="6" t="s">
        <v>58</v>
      </c>
      <c r="D15" s="9">
        <v>0.03</v>
      </c>
    </row>
    <row r="16">
      <c r="B16" s="6" t="s">
        <v>59</v>
      </c>
      <c r="D16" s="9">
        <v>0.26</v>
      </c>
    </row>
    <row r="17">
      <c r="B17" s="6" t="s">
        <v>60</v>
      </c>
      <c r="D17" s="9">
        <v>0.135</v>
      </c>
    </row>
    <row r="18">
      <c r="B18" s="6" t="s">
        <v>61</v>
      </c>
      <c r="D18" s="9">
        <v>0.85</v>
      </c>
    </row>
    <row r="19">
      <c r="B19" s="6" t="s">
        <v>62</v>
      </c>
      <c r="D19" s="11" t="s">
        <v>63</v>
      </c>
    </row>
    <row r="20">
      <c r="B20" s="6" t="s">
        <v>64</v>
      </c>
      <c r="D20" s="8">
        <f>IF(ScenarioName="Bull",1.25,IF(ScenarioName="Bear",0.7,1))</f>
        <v>1</v>
      </c>
    </row>
    <row r="22">
      <c r="B22" s="7" t="s">
        <v>65</v>
      </c>
      <c r="C22" s="7"/>
      <c r="D22" s="7"/>
    </row>
    <row r="23">
      <c r="B23" s="6" t="s">
        <v>66</v>
      </c>
      <c r="D23" s="8">
        <v>13</v>
      </c>
    </row>
    <row r="24">
      <c r="B24" s="6" t="s">
        <v>67</v>
      </c>
      <c r="D24" s="8">
        <v>22</v>
      </c>
    </row>
    <row r="25">
      <c r="B25" s="6" t="s">
        <v>68</v>
      </c>
      <c r="D25" s="8">
        <v>5</v>
      </c>
    </row>
    <row r="26">
      <c r="B26" s="6" t="s">
        <v>69</v>
      </c>
      <c r="D26" s="8">
        <v>5</v>
      </c>
    </row>
    <row r="28">
      <c r="B28" s="7" t="s">
        <v>70</v>
      </c>
      <c r="C28" s="7"/>
      <c r="D28" s="7"/>
    </row>
    <row r="29">
      <c r="B29" s="6" t="s">
        <v>71</v>
      </c>
      <c r="D29" s="9">
        <v>0.042</v>
      </c>
    </row>
    <row r="30">
      <c r="B30" s="6" t="s">
        <v>72</v>
      </c>
      <c r="D30" s="9">
        <v>0.05</v>
      </c>
    </row>
    <row r="31">
      <c r="B31" s="6" t="s">
        <v>73</v>
      </c>
      <c r="D31" s="21">
        <v>1.2</v>
      </c>
    </row>
    <row r="32">
      <c r="B32" s="6" t="s">
        <v>74</v>
      </c>
      <c r="D32" s="9">
        <v>0.06</v>
      </c>
    </row>
    <row r="33">
      <c r="B33" s="6" t="s">
        <v>75</v>
      </c>
      <c r="D33" s="9">
        <v>0.85</v>
      </c>
    </row>
    <row r="34">
      <c r="B34" s="6" t="s">
        <v>76</v>
      </c>
      <c r="D34" s="9">
        <v>0.15</v>
      </c>
    </row>
    <row r="35">
      <c r="B35" s="6" t="s">
        <v>77</v>
      </c>
      <c r="D35" s="9">
        <v>0.03</v>
      </c>
    </row>
    <row r="37">
      <c r="B37" s="7" t="s">
        <v>78</v>
      </c>
      <c r="C37" s="7"/>
      <c r="D37" s="7"/>
    </row>
    <row r="38">
      <c r="B38" s="6" t="s">
        <v>79</v>
      </c>
      <c r="D38" s="9">
        <v>0.02</v>
      </c>
    </row>
    <row r="39">
      <c r="B39" s="6" t="s">
        <v>80</v>
      </c>
      <c r="D39" s="9">
        <v>-0.02</v>
      </c>
    </row>
    <row r="40">
      <c r="B40" s="6" t="s">
        <v>81</v>
      </c>
      <c r="D40" s="8">
        <v>8</v>
      </c>
    </row>
    <row r="42">
      <c r="B42" s="7" t="s">
        <v>82</v>
      </c>
      <c r="C42" s="7"/>
      <c r="D42" s="7"/>
    </row>
    <row r="43">
      <c r="B43" s="6" t="s">
        <v>83</v>
      </c>
      <c r="D43" s="12"/>
    </row>
    <row r="44">
      <c r="B44" s="6" t="s">
        <v>84</v>
      </c>
      <c r="D44" s="17"/>
    </row>
    <row r="45">
      <c r="B45" s="6" t="s">
        <v>85</v>
      </c>
      <c r="D45" s="12"/>
    </row>
    <row r="46">
      <c r="B46" s="6" t="s">
        <v>86</v>
      </c>
      <c r="D46" s="11"/>
    </row>
  </sheetData>
  <mergeCells count="8">
    <mergeCell ref="B28:D28"/>
    <mergeCell ref="F3:K3"/>
    <mergeCell ref="B22:D22"/>
    <mergeCell ref="B37:D37"/>
    <mergeCell ref="B13:D13"/>
    <mergeCell ref="B42:D42"/>
    <mergeCell ref="B3:D3"/>
    <mergeCell ref="A1:F1"/>
  </mergeCells>
  <dataValidations count="1">
    <dataValidation type="list" allowBlank="1" showInputMessage="1" showErrorMessage="1" sqref="D19">
      <formula1>"Base,Bull,Bear"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ColWidth="8.42578125" defaultRowHeight="15"/>
  <cols>
    <col min="1" max="1" width="3.5703125" customWidth="1"/>
    <col min="2" max="2" width="27.85546875" customWidth="1"/>
    <col min="3" max="5" width="20.7109375" customWidth="1"/>
  </cols>
  <sheetData>
    <row r="1">
      <c r="A1" s="2" t="s">
        <v>87</v>
      </c>
      <c r="B1" s="2"/>
      <c r="C1" s="2"/>
      <c r="D1" s="2"/>
      <c r="E1" s="2"/>
    </row>
    <row r="3">
      <c r="B3" s="4" t="s">
        <v>88</v>
      </c>
      <c r="C3" s="4" t="s">
        <v>89</v>
      </c>
      <c r="D3" s="4" t="s">
        <v>90</v>
      </c>
      <c r="E3" s="4" t="s">
        <v>91</v>
      </c>
    </row>
    <row r="4">
      <c r="B4" s="3" t="s">
        <v>32</v>
      </c>
      <c r="C4" s="1">
        <v>1000</v>
      </c>
      <c r="D4" s="1">
        <v>1150</v>
      </c>
      <c r="E4" s="1">
        <v>1300</v>
      </c>
    </row>
    <row r="5">
      <c r="B5" s="3" t="s">
        <v>33</v>
      </c>
      <c r="C5" s="1">
        <v>250</v>
      </c>
      <c r="D5" s="1">
        <v>295</v>
      </c>
      <c r="E5" s="1">
        <v>340</v>
      </c>
    </row>
    <row r="6">
      <c r="B6" s="3" t="s">
        <v>34</v>
      </c>
      <c r="C6" s="1">
        <v>120</v>
      </c>
      <c r="D6" s="1">
        <v>150</v>
      </c>
      <c r="E6" s="1">
        <v>175</v>
      </c>
    </row>
    <row r="7">
      <c r="B7" s="3" t="s">
        <v>92</v>
      </c>
      <c r="C7" s="5">
        <f>C6/Shares</f>
        <v>1.2</v>
      </c>
      <c r="D7" s="5">
        <f>D6/Shares</f>
        <v>1.5</v>
      </c>
      <c r="E7" s="5">
        <f>E6/Shares</f>
        <v>1.75</v>
      </c>
    </row>
  </sheetData>
  <mergeCells count="1">
    <mergeCell ref="A1:E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ColWidth="8.42578125" defaultRowHeight="15"/>
  <cols>
    <col min="1" max="1" width="3.5703125" customWidth="1"/>
    <col min="2" max="2" width="27.85546875" customWidth="1"/>
    <col min="3" max="3" width="22.140625" customWidth="1"/>
    <col min="4" max="4" width="45" customWidth="1"/>
  </cols>
  <sheetData>
    <row r="1">
      <c r="A1" s="2" t="s">
        <v>93</v>
      </c>
      <c r="B1" s="2"/>
      <c r="C1" s="2"/>
      <c r="D1" s="2"/>
    </row>
    <row r="3">
      <c r="B3" s="4" t="s">
        <v>88</v>
      </c>
      <c r="C3" s="4" t="s">
        <v>94</v>
      </c>
      <c r="D3" s="4" t="s">
        <v>95</v>
      </c>
    </row>
    <row r="4">
      <c r="B4" s="3" t="s">
        <v>32</v>
      </c>
      <c r="C4" s="1">
        <f>PriorRev*(1+RevGrowthMy*ScenarioMult)</f>
        <v>1160</v>
      </c>
      <c r="D4" s="19" t="s">
        <v>96</v>
      </c>
    </row>
    <row r="5">
      <c r="B5" s="3" t="s">
        <v>33</v>
      </c>
      <c r="C5" s="1">
        <f>RevMy*EbitdaMarginMy</f>
        <v>301.6</v>
      </c>
      <c r="D5" s="19" t="s">
        <v>97</v>
      </c>
    </row>
    <row r="6">
      <c r="B6" s="3" t="s">
        <v>34</v>
      </c>
      <c r="C6" s="1">
        <f>RevMy*NiMarginMy</f>
        <v>156.60000000000002</v>
      </c>
      <c r="D6" s="19" t="s">
        <v>98</v>
      </c>
    </row>
    <row r="7">
      <c r="B7" s="3" t="s">
        <v>92</v>
      </c>
      <c r="C7" s="5">
        <f>NiMy/Shares</f>
        <v>1.5660000000000003</v>
      </c>
      <c r="D7" s="19" t="s">
        <v>99</v>
      </c>
    </row>
    <row r="8">
      <c r="B8" s="3" t="s">
        <v>100</v>
      </c>
      <c r="C8" s="1">
        <f>EbitdaMy*(1-TaxRate)*FcfConv</f>
        <v>202.5244</v>
      </c>
      <c r="D8" s="19" t="s">
        <v>101</v>
      </c>
    </row>
  </sheetData>
  <mergeCells count="1">
    <mergeCell ref="A1:D1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ColWidth="8.42578125" defaultRowHeight="15"/>
  <cols>
    <col min="1" max="1" width="3.5703125" customWidth="1"/>
    <col min="2" max="2" width="30.7109375" customWidth="1"/>
    <col min="3" max="8" width="16.42578125" customWidth="1"/>
  </cols>
  <sheetData>
    <row r="1">
      <c r="A1" s="2" t="s">
        <v>102</v>
      </c>
      <c r="B1" s="2"/>
      <c r="C1" s="2"/>
      <c r="D1" s="2"/>
      <c r="E1" s="2"/>
      <c r="F1" s="2"/>
      <c r="G1" s="2"/>
      <c r="H1" s="2"/>
    </row>
    <row r="3">
      <c r="B3" s="7" t="s">
        <v>103</v>
      </c>
      <c r="C3" s="7"/>
    </row>
    <row r="4">
      <c r="B4" t="s">
        <v>104</v>
      </c>
      <c r="C4" s="1">
        <f>Price*Shares+NetDebt</f>
        <v>4350</v>
      </c>
    </row>
    <row r="5">
      <c r="B5" t="s">
        <v>105</v>
      </c>
      <c r="C5" s="15">
        <f>EV/EbitdaMy</f>
        <v>14.423076923076922</v>
      </c>
    </row>
    <row r="6">
      <c r="B6" t="s">
        <v>106</v>
      </c>
      <c r="C6" s="15">
        <f>Price/EpsMy</f>
        <v>28.73563218390804</v>
      </c>
    </row>
    <row r="7">
      <c r="B7" t="s">
        <v>107</v>
      </c>
      <c r="C7" s="15">
        <f>EV/RevMy</f>
        <v>3.75</v>
      </c>
    </row>
    <row r="8">
      <c r="B8" t="s">
        <v>108</v>
      </c>
      <c r="C8" s="15">
        <f>Price*Shares/RevMy</f>
        <v>3.8793103448275863</v>
      </c>
    </row>
    <row r="10">
      <c r="B10" s="7" t="s">
        <v>109</v>
      </c>
      <c r="C10" s="7"/>
    </row>
    <row r="11">
      <c r="B11" t="s">
        <v>110</v>
      </c>
      <c r="C11" s="5">
        <f>(PeerEVEBITDA*EbitdaMy-NetDebt)/Shares</f>
        <v>40.708</v>
      </c>
    </row>
    <row r="12">
      <c r="B12" t="s">
        <v>111</v>
      </c>
      <c r="C12" s="5">
        <f>PeerPE*EpsMy</f>
        <v>34.452000000000005</v>
      </c>
    </row>
    <row r="13">
      <c r="B13" t="s">
        <v>112</v>
      </c>
      <c r="C13" s="5">
        <f>(PeerEVRev*RevMy-NetDebt)/Shares</f>
        <v>59.5</v>
      </c>
    </row>
    <row r="14">
      <c r="B14" t="s">
        <v>113</v>
      </c>
      <c r="C14" s="5">
        <f>PeerPS*RevMy/Shares</f>
        <v>58</v>
      </c>
    </row>
    <row r="15">
      <c r="B15" s="10" t="s">
        <v>114</v>
      </c>
      <c r="C15" s="24">
        <f>AVERAGE(C11:C14)</f>
        <v>48.165</v>
      </c>
    </row>
    <row r="17">
      <c r="B17" s="7" t="s">
        <v>115</v>
      </c>
      <c r="C17" s="7"/>
    </row>
    <row r="18">
      <c r="B18" t="s">
        <v>116</v>
      </c>
      <c r="C18" s="13">
        <f>RiskFree+Beta*ERP</f>
        <v>0.10200000000000001</v>
      </c>
    </row>
    <row r="19">
      <c r="B19" t="s">
        <v>117</v>
      </c>
      <c r="C19" s="13">
        <f>CostDebt*(1-TaxRate)</f>
        <v>0.0474</v>
      </c>
    </row>
    <row r="20">
      <c r="B20" s="10" t="s">
        <v>115</v>
      </c>
      <c r="C20" s="16">
        <f>WeightEquity*C18+WeightDebt*C19</f>
        <v>0.09381</v>
      </c>
    </row>
    <row r="22">
      <c r="B22" s="7" t="s">
        <v>118</v>
      </c>
      <c r="C22" s="7"/>
      <c r="D22" s="7"/>
      <c r="E22" s="7"/>
      <c r="F22" s="7"/>
      <c r="G22" s="7"/>
      <c r="H22" s="7"/>
    </row>
    <row r="23">
      <c r="B23" s="20" t="s">
        <v>119</v>
      </c>
      <c r="C23" s="20">
        <v>1</v>
      </c>
      <c r="D23" s="20">
        <v>2</v>
      </c>
      <c r="E23" s="20">
        <v>3</v>
      </c>
      <c r="F23" s="20">
        <v>4</v>
      </c>
      <c r="G23" s="20">
        <v>5</v>
      </c>
    </row>
    <row r="24">
      <c r="B24" s="3" t="s">
        <v>120</v>
      </c>
      <c r="C24" s="13">
        <f>MAX(RevGrowthMy*ScenarioMult,TermGrowth)</f>
        <v>0.16</v>
      </c>
      <c r="D24" s="13">
        <f>MAX(C24-GrowthFade,TermGrowth)</f>
        <v>0.13</v>
      </c>
      <c r="E24" s="13">
        <f>MAX(D24-GrowthFade,TermGrowth)</f>
        <v>0.1</v>
      </c>
      <c r="F24" s="13">
        <f>MAX(E24-GrowthFade,TermGrowth)</f>
        <v>0.07</v>
      </c>
      <c r="G24" s="13">
        <f>MAX(F24-GrowthFade,TermGrowth)</f>
        <v>0.04000000000000001</v>
      </c>
    </row>
    <row r="25">
      <c r="B25" s="3" t="s">
        <v>121</v>
      </c>
      <c r="C25" s="1">
        <f>RevMy*(1+C24)</f>
        <v>1345.6</v>
      </c>
      <c r="D25" s="1">
        <f>C25*(1+D24)</f>
        <v>1520.5279999999998</v>
      </c>
      <c r="E25" s="1">
        <f>D25*(1+E24)</f>
        <v>1672.5808</v>
      </c>
      <c r="F25" s="1">
        <f>E25*(1+F24)</f>
        <v>1789.661456</v>
      </c>
      <c r="G25" s="1">
        <f>F25*(1+G24)</f>
        <v>1861.24791424</v>
      </c>
    </row>
    <row r="26">
      <c r="B26" s="3" t="s">
        <v>9</v>
      </c>
      <c r="C26" s="1">
        <f>C25*EbitdaMarginMy</f>
        <v>349.856</v>
      </c>
      <c r="D26" s="1">
        <f>D25*EbitdaMarginMy</f>
        <v>395.33727999999996</v>
      </c>
      <c r="E26" s="1">
        <f>E25*EbitdaMarginMy</f>
        <v>434.871008</v>
      </c>
      <c r="F26" s="1">
        <f>F25*EbitdaMarginMy</f>
        <v>465.31197856</v>
      </c>
      <c r="G26" s="1">
        <f>G25*EbitdaMarginMy</f>
        <v>483.9244577024</v>
      </c>
    </row>
    <row r="27">
      <c r="B27" s="3" t="s">
        <v>122</v>
      </c>
      <c r="C27" s="1">
        <f>C26*(1-TaxRate)*FcfConv</f>
        <v>234.92830399999997</v>
      </c>
      <c r="D27" s="1">
        <f>D26*(1-TaxRate)*FcfConv</f>
        <v>265.46898351999994</v>
      </c>
      <c r="E27" s="1">
        <f>E26*(1-TaxRate)*FcfConv</f>
        <v>292.015881872</v>
      </c>
      <c r="F27" s="1">
        <f>F26*(1-TaxRate)*FcfConv</f>
        <v>312.45699360304</v>
      </c>
      <c r="G27" s="1">
        <f>G26*(1-TaxRate)*FcfConv</f>
        <v>324.95527334716155</v>
      </c>
    </row>
    <row r="29">
      <c r="B29" t="s">
        <v>123</v>
      </c>
      <c r="C29" s="1">
        <f>NPV(WACC,C27:G27)</f>
        <v>1085.6378864760316</v>
      </c>
    </row>
    <row r="30">
      <c r="B30" t="s">
        <v>124</v>
      </c>
      <c r="C30" s="1">
        <f>G27*(1+TermGrowth)/(WACC-TermGrowth)</f>
        <v>5245.320977081592</v>
      </c>
    </row>
    <row r="31">
      <c r="B31" t="s">
        <v>125</v>
      </c>
      <c r="C31" s="1">
        <f>C30/(1+WACC)^5</f>
        <v>3350.137417384527</v>
      </c>
    </row>
    <row r="32">
      <c r="B32" s="3" t="s">
        <v>126</v>
      </c>
      <c r="C32" s="1">
        <f>C29+C31</f>
        <v>4435.775303860559</v>
      </c>
    </row>
    <row r="33">
      <c r="B33" s="3" t="s">
        <v>127</v>
      </c>
      <c r="C33" s="1">
        <f>C32-NetDebt</f>
        <v>4585.775303860559</v>
      </c>
    </row>
    <row r="34">
      <c r="B34" s="3" t="s">
        <v>128</v>
      </c>
      <c r="C34" s="22">
        <f>C33/Shares</f>
        <v>45.85775303860559</v>
      </c>
    </row>
    <row r="35">
      <c r="B35" t="s">
        <v>129</v>
      </c>
      <c r="C35" s="30">
        <f>FairValue/Price-1</f>
        <v>0.0190611786356798</v>
      </c>
    </row>
    <row r="37">
      <c r="B37" s="7" t="s">
        <v>130</v>
      </c>
      <c r="C37" s="7"/>
      <c r="D37" s="7"/>
      <c r="E37" s="7"/>
      <c r="F37" s="7"/>
      <c r="G37" s="7"/>
      <c r="H37" s="7"/>
    </row>
    <row r="38">
      <c r="B38" s="31" t="s">
        <v>131</v>
      </c>
      <c r="C38" s="31">
        <f>TermGrowth+-0.01</f>
        <v>0.019999999999999997</v>
      </c>
      <c r="D38" s="31">
        <f>TermGrowth+-0.005</f>
        <v>0.024999999999999998</v>
      </c>
      <c r="E38" s="31">
        <f>TermGrowth+0</f>
        <v>0.03</v>
      </c>
      <c r="F38" s="31">
        <f>TermGrowth+0.005</f>
        <v>0.034999999999999996</v>
      </c>
      <c r="G38" s="31">
        <f>TermGrowth+0.01</f>
        <v>0.04</v>
      </c>
    </row>
    <row r="39">
      <c r="B39" s="16">
        <f>WACC+-0.01</f>
        <v>0.08381000000000001</v>
      </c>
      <c r="C39" s="14">
        <f>(NPV($B39,$C$27:$G$27)+($G$27*(1+C$38)/($B39-C$38))/(1+$B39)^5-NetDebt)/Shares</f>
        <v>47.39403874756321</v>
      </c>
      <c r="D39" s="14">
        <f>(NPV($B39,$C$27:$G$27)+($G$27*(1+D$38)/($B39-D$38))/(1+$B39)^5-NetDebt)/Shares</f>
        <v>50.53195287280684</v>
      </c>
      <c r="E39" s="14">
        <f>(NPV($B39,$C$27:$G$27)+($G$27*(1+E$38)/($B39-E$38))/(1+$B39)^5-NetDebt)/Shares</f>
        <v>54.253014020024786</v>
      </c>
      <c r="F39" s="14">
        <f>(NPV($B39,$C$27:$G$27)+($G$27*(1+F$38)/($B39-F$38))/(1+$B39)^5-NetDebt)/Shares</f>
        <v>58.73643147685507</v>
      </c>
      <c r="G39" s="14">
        <f>(NPV($B39,$C$27:$G$27)+($G$27*(1+G$38)/($B39-G$38))/(1+$B39)^5-NetDebt)/Shares</f>
        <v>64.24322657733528</v>
      </c>
    </row>
    <row r="40">
      <c r="B40" s="16">
        <f>WACC+-0.005</f>
        <v>0.08881</v>
      </c>
      <c r="C40" s="14">
        <f>(NPV($B40,$C$27:$G$27)+($G$27*(1+C$38)/($B40-C$38))/(1+$B40)^5-NetDebt)/Shares</f>
        <v>43.98434802278164</v>
      </c>
      <c r="D40" s="14">
        <f>(NPV($B40,$C$27:$G$27)+($G$27*(1+D$38)/($B40-D$38))/(1+$B40)^5-NetDebt)/Shares</f>
        <v>46.61731181734158</v>
      </c>
      <c r="E40" s="14">
        <f>(NPV($B40,$C$27:$G$27)+($G$27*(1+E$38)/($B40-E$38))/(1+$B40)^5-NetDebt)/Shares</f>
        <v>49.69798242954478</v>
      </c>
      <c r="F40" s="14">
        <f>(NPV($B40,$C$27:$G$27)+($G$27*(1+F$38)/($B40-F$38))/(1+$B40)^5-NetDebt)/Shares</f>
        <v>53.35116198287474</v>
      </c>
      <c r="G40" s="14">
        <f>(NPV($B40,$C$27:$G$27)+($G$27*(1+G$38)/($B40-G$38))/(1+$B40)^5-NetDebt)/Shares</f>
        <v>57.75279053299431</v>
      </c>
    </row>
    <row r="41">
      <c r="B41" s="16">
        <f>WACC+0</f>
        <v>0.09381</v>
      </c>
      <c r="C41" s="14">
        <f>(NPV($B41,$C$27:$G$27)+($G$27*(1+C$38)/($B41-C$38))/(1+$B41)^5-NetDebt)/Shares</f>
        <v>41.03769707161954</v>
      </c>
      <c r="D41" s="14">
        <f>(NPV($B41,$C$27:$G$27)+($G$27*(1+D$38)/($B41-D$38))/(1+$B41)^5-NetDebt)/Shares</f>
        <v>43.27260312635998</v>
      </c>
      <c r="E41" s="14">
        <f>(NPV($B41,$C$27:$G$27)+($G$27*(1+E$38)/($B41-E$38))/(1+$B41)^5-NetDebt)/Shares</f>
        <v>45.85775303860559</v>
      </c>
      <c r="F41" s="14">
        <f>(NPV($B41,$C$27:$G$27)+($G$27*(1+F$38)/($B41-F$38))/(1+$B41)^5-NetDebt)/Shares</f>
        <v>48.882479538548104</v>
      </c>
      <c r="G41" s="14">
        <f>(NPV($B41,$C$27:$G$27)+($G$27*(1+G$38)/($B41-G$38))/(1+$B41)^5-NetDebt)/Shares</f>
        <v>52.469318378193755</v>
      </c>
    </row>
    <row r="42">
      <c r="B42" s="16">
        <f>WACC+0.005</f>
        <v>0.09881000000000001</v>
      </c>
      <c r="C42" s="14">
        <f>(NPV($B42,$C$27:$G$27)+($G$27*(1+C$38)/($B42-C$38))/(1+$B42)^5-NetDebt)/Shares</f>
        <v>38.465933352713236</v>
      </c>
      <c r="D42" s="14">
        <f>(NPV($B42,$C$27:$G$27)+($G$27*(1+D$38)/($B42-D$38))/(1+$B42)^5-NetDebt)/Shares</f>
        <v>40.381982514036416</v>
      </c>
      <c r="E42" s="14">
        <f>(NPV($B42,$C$27:$G$27)+($G$27*(1+E$38)/($B42-E$38))/(1+$B42)^5-NetDebt)/Shares</f>
        <v>42.576486719876854</v>
      </c>
      <c r="F42" s="14">
        <f>(NPV($B42,$C$27:$G$27)+($G$27*(1+F$38)/($B42-F$38))/(1+$B42)^5-NetDebt)/Shares</f>
        <v>45.114903197436526</v>
      </c>
      <c r="G42" s="14">
        <f>(NPV($B42,$C$27:$G$27)+($G$27*(1+G$38)/($B42-G$38))/(1+$B42)^5-NetDebt)/Shares</f>
        <v>48.08494975109885</v>
      </c>
    </row>
    <row r="43">
      <c r="B43" s="16">
        <f>WACC+0.01</f>
        <v>0.10381</v>
      </c>
      <c r="C43" s="14">
        <f>(NPV($B43,$C$27:$G$27)+($G$27*(1+C$38)/($B43-C$38))/(1+$B43)^5-NetDebt)/Shares</f>
        <v>36.201941148015415</v>
      </c>
      <c r="D43" s="14">
        <f>(NPV($B43,$C$27:$G$27)+($G$27*(1+D$38)/($B43-D$38))/(1+$B43)^5-NetDebt)/Shares</f>
        <v>37.85900456016365</v>
      </c>
      <c r="E43" s="14">
        <f>(NPV($B43,$C$27:$G$27)+($G$27*(1+E$38)/($B43-E$38))/(1+$B43)^5-NetDebt)/Shares</f>
        <v>39.74057188941638</v>
      </c>
      <c r="F43" s="14">
        <f>(NPV($B43,$C$27:$G$27)+($G$27*(1+F$38)/($B43-F$38))/(1+$B43)^5-NetDebt)/Shares</f>
        <v>41.895583097357196</v>
      </c>
      <c r="G43" s="14">
        <f>(NPV($B43,$C$27:$G$27)+($G$27*(1+G$38)/($B43-G$38))/(1+$B43)^5-NetDebt)/Shares</f>
        <v>44.38831742204161</v>
      </c>
    </row>
  </sheetData>
  <mergeCells count="6">
    <mergeCell ref="B22:H22"/>
    <mergeCell ref="B37:H37"/>
    <mergeCell ref="A1:H1"/>
    <mergeCell ref="B3:C3"/>
    <mergeCell ref="B10:C10"/>
    <mergeCell ref="B17:C17"/>
  </mergeCells>
  <conditionalFormatting sqref="C39:G43">
    <cfRule type="colorScale" priority="1">
      <colorScale>
        <cfvo type="min"/>
        <cfvo type="percentile" val="50"/>
        <cfvo type="max"/>
        <color rgb="FFFFC7CE"/>
        <color rgb="FFFFFFFF"/>
        <color rgb="FFC6EFCE"/>
      </colorScale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ColWidth="8.42578125" defaultRowHeight="15"/>
  <cols>
    <col min="1" max="1" width="3.5703125" customWidth="1"/>
    <col min="2" max="2" width="20.7109375" customWidth="1"/>
    <col min="3" max="8" width="19.28515625" customWidth="1"/>
  </cols>
  <sheetData>
    <row r="1">
      <c r="A1" s="2" t="s">
        <v>132</v>
      </c>
      <c r="B1" s="2"/>
      <c r="C1" s="2"/>
      <c r="D1" s="2"/>
      <c r="E1" s="2"/>
      <c r="F1" s="2"/>
      <c r="G1" s="2"/>
      <c r="H1" s="2"/>
    </row>
    <row r="3">
      <c r="B3" s="4" t="s">
        <v>62</v>
      </c>
      <c r="C3" s="4" t="s">
        <v>120</v>
      </c>
      <c r="D3" s="4" t="s">
        <v>59</v>
      </c>
      <c r="E3" s="4" t="s">
        <v>133</v>
      </c>
      <c r="F3" s="4" t="s">
        <v>134</v>
      </c>
      <c r="G3" s="4" t="s">
        <v>135</v>
      </c>
      <c r="H3" s="4" t="s">
        <v>136</v>
      </c>
    </row>
    <row r="4">
      <c r="B4" t="s">
        <v>63</v>
      </c>
      <c r="C4" s="13">
        <f>RevGrowthMy</f>
        <v>0.16</v>
      </c>
      <c r="D4" s="13">
        <f>EbitdaMarginMy</f>
        <v>0.26</v>
      </c>
      <c r="E4" s="1">
        <f>PriorRev*(1+C4)</f>
        <v>1160</v>
      </c>
      <c r="F4" s="1">
        <f>E4*D4</f>
        <v>301.6</v>
      </c>
      <c r="G4" s="5">
        <f>(PeerEVEBITDA*F4-NetDebt)/Shares</f>
        <v>40.708</v>
      </c>
      <c r="H4" s="13">
        <f>G4/Price-1</f>
        <v>-0.09537777777777778</v>
      </c>
    </row>
    <row r="5">
      <c r="B5" t="s">
        <v>137</v>
      </c>
      <c r="C5" s="13">
        <f>RevGrowthMy*1.25</f>
        <v>0.2</v>
      </c>
      <c r="D5" s="13">
        <f>EbitdaMarginMy+0.03</f>
        <v>0.29000000000000004</v>
      </c>
      <c r="E5" s="1">
        <f>PriorRev*(1+C5)</f>
        <v>1200</v>
      </c>
      <c r="F5" s="1">
        <f>E5*D5</f>
        <v>348.00000000000006</v>
      </c>
      <c r="G5" s="5">
        <f>(PeerEVEBITDA*F5-NetDebt)/Shares</f>
        <v>46.74000000000001</v>
      </c>
      <c r="H5" s="13">
        <f>G5/Price-1</f>
        <v>0.03866666666666685</v>
      </c>
    </row>
    <row r="6">
      <c r="B6" t="s">
        <v>138</v>
      </c>
      <c r="C6" s="13">
        <f>RevGrowthMy*0.7</f>
        <v>0.11199999999999999</v>
      </c>
      <c r="D6" s="13">
        <f>EbitdaMarginMy-0.04</f>
        <v>0.22</v>
      </c>
      <c r="E6" s="1">
        <f>PriorRev*(1+C6)</f>
        <v>1112</v>
      </c>
      <c r="F6" s="1">
        <f>E6*D6</f>
        <v>244.64000000000001</v>
      </c>
      <c r="G6" s="5">
        <f>(PeerEVEBITDA*F6-NetDebt)/Shares</f>
        <v>33.303200000000004</v>
      </c>
      <c r="H6" s="13">
        <f>G6/Price-1</f>
        <v>-0.25992888888888876</v>
      </c>
    </row>
    <row r="8">
      <c r="B8" s="7" t="s">
        <v>139</v>
      </c>
      <c r="C8" s="7"/>
      <c r="D8" s="7"/>
      <c r="E8" s="7"/>
      <c r="F8" s="7"/>
      <c r="G8" s="7"/>
      <c r="H8" s="7"/>
    </row>
    <row r="9">
      <c r="B9" s="10" t="s">
        <v>140</v>
      </c>
      <c r="C9" s="10" t="s">
        <v>141</v>
      </c>
      <c r="D9" s="10" t="s">
        <v>142</v>
      </c>
      <c r="E9" s="10" t="s">
        <v>143</v>
      </c>
    </row>
    <row r="10">
      <c r="B10" t="s">
        <v>144</v>
      </c>
      <c r="C10" s="5">
        <f>(PeerEVEBITDA*(PriorRev*(1+RevGrowthMy*0.8)*EbitdaMarginMy)-NetDebt)/Shares</f>
        <v>39.626400000000004</v>
      </c>
      <c r="D10" s="5">
        <f>(PeerEVEBITDA*(PriorRev*(1+RevGrowthMy*1.2)*EbitdaMarginMy)-NetDebt)/Shares</f>
        <v>41.7896</v>
      </c>
      <c r="E10" s="5">
        <f>ABS(D10-C10)</f>
        <v>2.1631999999999962</v>
      </c>
    </row>
    <row r="11">
      <c r="B11" t="s">
        <v>59</v>
      </c>
      <c r="C11" s="5">
        <f>(PeerEVEBITDA*(PriorRev*(1+RevGrowthMy)*EbitdaMarginMy*0.8)-NetDebt)/Shares</f>
        <v>32.866400000000006</v>
      </c>
      <c r="D11" s="5">
        <f>(PeerEVEBITDA*(PriorRev*(1+RevGrowthMy)*EbitdaMarginMy*1.2)-NetDebt)/Shares</f>
        <v>48.5496</v>
      </c>
      <c r="E11" s="5">
        <f>ABS(D11-C11)</f>
        <v>15.683199999999992</v>
      </c>
    </row>
    <row r="12">
      <c r="B12" t="s">
        <v>66</v>
      </c>
      <c r="C12" s="5">
        <f>(PeerEVEBITDA*0.8*(PriorRev*(1+RevGrowthMy)*EbitdaMarginMy)-NetDebt)/Shares</f>
        <v>32.866400000000006</v>
      </c>
      <c r="D12" s="5">
        <f>(PeerEVEBITDA*1.2*(PriorRev*(1+RevGrowthMy)*EbitdaMarginMy)-NetDebt)/Shares</f>
        <v>48.5496</v>
      </c>
      <c r="E12" s="5">
        <f>ABS(D12-C12)</f>
        <v>15.683199999999992</v>
      </c>
    </row>
    <row r="13">
      <c r="B13" t="s">
        <v>145</v>
      </c>
      <c r="C13" s="5">
        <f>(PeerEVEBITDA*(PriorRev*(1+RevGrowthMy)*EbitdaMarginMy)-NetDebt*1.2)/Shares</f>
        <v>41.008</v>
      </c>
      <c r="D13" s="5">
        <f>(PeerEVEBITDA*(PriorRev*(1+RevGrowthMy)*EbitdaMarginMy)-NetDebt*0.8)/Shares</f>
        <v>40.408</v>
      </c>
      <c r="E13" s="5">
        <f>ABS(D13-C13)</f>
        <v>0.6000000000000014</v>
      </c>
    </row>
    <row r="14">
      <c r="B14" t="s">
        <v>146</v>
      </c>
      <c r="C14" s="5">
        <f>(PeerEVEBITDA*(PriorRev*(1+RevGrowthMy)*EbitdaMarginMy)-NetDebt)/Shares*1.2</f>
        <v>48.849599999999995</v>
      </c>
      <c r="D14" s="5">
        <f>(PeerEVEBITDA*(PriorRev*(1+RevGrowthMy)*EbitdaMarginMy)-NetDebt)/Shares*0.8</f>
        <v>32.5664</v>
      </c>
      <c r="E14" s="5">
        <f>ABS(D14-C14)</f>
        <v>16.283199999999994</v>
      </c>
    </row>
  </sheetData>
  <mergeCells count="2">
    <mergeCell ref="A1:H1"/>
    <mergeCell ref="B8:H8"/>
  </mergeCells>
  <conditionalFormatting sqref="H4:H6">
    <cfRule dxfId="0" type="cellIs" priority="1" operator="greaterThan">
      <formula>0.0</formula>
    </cfRule>
    <cfRule dxfId="1" type="cellIs" priority="2" operator="lessThan">
      <formula>0.0</formula>
    </cfRule>
  </conditionalFormatting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ColWidth="8.42578125" defaultRowHeight="15"/>
  <cols>
    <col min="1" max="1" width="25" customWidth="1"/>
    <col min="2" max="6" width="17.85546875" customWidth="1"/>
  </cols>
  <sheetData>
    <row r="1">
      <c r="A1" s="2" t="s">
        <v>147</v>
      </c>
      <c r="B1" s="2"/>
      <c r="C1" s="2"/>
      <c r="D1" s="2"/>
      <c r="E1" s="2"/>
      <c r="F1" s="2"/>
    </row>
    <row r="3">
      <c r="A3" s="4" t="s">
        <v>30</v>
      </c>
      <c r="B3" s="4" t="s">
        <v>12</v>
      </c>
      <c r="C3" s="4" t="s">
        <v>31</v>
      </c>
    </row>
    <row r="4">
      <c r="A4" t="s">
        <v>32</v>
      </c>
      <c r="B4" s="1">
        <f>ConsRev</f>
        <v>1150</v>
      </c>
      <c r="C4" s="1">
        <f>RevMy</f>
        <v>1160</v>
      </c>
    </row>
    <row r="5">
      <c r="A5" t="s">
        <v>33</v>
      </c>
      <c r="B5" s="1">
        <f>ConsEBITDA</f>
        <v>295</v>
      </c>
      <c r="C5" s="1">
        <f>EbitdaMy</f>
        <v>301.6</v>
      </c>
    </row>
    <row r="6">
      <c r="A6" t="s">
        <v>34</v>
      </c>
      <c r="B6" s="1">
        <f>ConsNI</f>
        <v>150</v>
      </c>
      <c r="C6" s="1">
        <f>NiMy</f>
        <v>156.60000000000002</v>
      </c>
    </row>
    <row r="9">
      <c r="A9" s="4" t="s">
        <v>148</v>
      </c>
      <c r="B9" s="4" t="s">
        <v>149</v>
      </c>
    </row>
    <row r="10">
      <c r="A10" t="str">
        <f>INDEX(KpiNames,1,MATCH(SelectedSector,SectorList,0))</f>
        <v>ARR ($M)</v>
      </c>
      <c r="B10" s="46">
        <f>INDEX(KpiValues,1,MATCH(SelectedSector,SectorList,0))</f>
        <v>1200</v>
      </c>
    </row>
    <row r="11">
      <c r="A11" t="str">
        <f>INDEX(KpiNames,2,MATCH(SelectedSector,SectorList,0))</f>
        <v>Net Rev Retention (%)</v>
      </c>
      <c r="B11" s="46">
        <f>INDEX(KpiValues,2,MATCH(SelectedSector,SectorList,0))</f>
        <v>118</v>
      </c>
    </row>
    <row r="12">
      <c r="A12" t="str">
        <f>INDEX(KpiNames,3,MATCH(SelectedSector,SectorList,0))</f>
        <v>Rule of 40 (%)</v>
      </c>
      <c r="B12" s="46">
        <f>INDEX(KpiValues,3,MATCH(SelectedSector,SectorList,0))</f>
        <v>46</v>
      </c>
    </row>
    <row r="13">
      <c r="A13" t="str">
        <f>INDEX(KpiNames,4,MATCH(SelectedSector,SectorList,0))</f>
        <v>Gross Margin (%)</v>
      </c>
      <c r="B13" s="46">
        <f>INDEX(KpiValues,4,MATCH(SelectedSector,SectorList,0))</f>
        <v>78</v>
      </c>
    </row>
    <row r="14">
      <c r="A14" t="str">
        <f>INDEX(KpiNames,5,MATCH(SelectedSector,SectorList,0))</f>
        <v>CAC Payback (mo)</v>
      </c>
      <c r="B14" s="46">
        <f>INDEX(KpiValues,5,MATCH(SelectedSector,SectorList,0))</f>
        <v>14</v>
      </c>
    </row>
    <row r="17">
      <c r="A17" s="4" t="s">
        <v>150</v>
      </c>
      <c r="B17" s="4" t="s">
        <v>149</v>
      </c>
    </row>
    <row r="18">
      <c r="A18" t="s">
        <v>151</v>
      </c>
      <c r="B18" s="1">
        <f>ConsNI</f>
        <v>150</v>
      </c>
    </row>
    <row r="19">
      <c r="A19" t="s">
        <v>152</v>
      </c>
      <c r="B19" s="1">
        <f>(RevMy-ConsRev)*NiMarginMy</f>
        <v>1.35</v>
      </c>
    </row>
    <row r="20">
      <c r="A20" t="s">
        <v>153</v>
      </c>
      <c r="B20" s="1">
        <f>NiMy-ConsNI-((RevMy-ConsRev)*NiMarginMy)</f>
        <v>5.250000000000023</v>
      </c>
    </row>
    <row r="21">
      <c r="A21" t="s">
        <v>154</v>
      </c>
      <c r="B21" s="1">
        <f>NiMy</f>
        <v>156.60000000000002</v>
      </c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ColWidth="8.42578125" defaultRowHeight="15"/>
  <cols>
    <col min="1" max="10" width="20.7109375" customWidth="1"/>
  </cols>
  <sheetData>
    <row r="1">
      <c r="A1" s="2" t="s">
        <v>155</v>
      </c>
      <c r="B1" s="2"/>
      <c r="C1" s="2"/>
      <c r="D1" s="2"/>
      <c r="E1" s="2"/>
      <c r="F1" s="2"/>
      <c r="G1" s="2"/>
      <c r="H1" s="2"/>
      <c r="I1" s="2"/>
    </row>
    <row r="3">
      <c r="A3" s="25" t="s">
        <v>156</v>
      </c>
      <c r="C3" s="20" t="s">
        <v>3</v>
      </c>
      <c r="D3" s="20" t="s">
        <v>49</v>
      </c>
      <c r="E3" s="20" t="s">
        <v>157</v>
      </c>
      <c r="F3" s="20" t="s">
        <v>158</v>
      </c>
      <c r="G3" s="20" t="s">
        <v>159</v>
      </c>
      <c r="H3" s="20" t="s">
        <v>53</v>
      </c>
      <c r="I3" s="20" t="s">
        <v>160</v>
      </c>
    </row>
    <row r="4">
      <c r="A4" s="25"/>
      <c r="C4" t="s">
        <v>161</v>
      </c>
      <c r="D4" t="s">
        <v>162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</row>
    <row r="5">
      <c r="A5" s="25"/>
      <c r="C5" t="s">
        <v>168</v>
      </c>
      <c r="D5" t="s">
        <v>169</v>
      </c>
      <c r="E5" t="s">
        <v>170</v>
      </c>
      <c r="F5" t="s">
        <v>171</v>
      </c>
      <c r="G5" t="s">
        <v>172</v>
      </c>
      <c r="H5" t="s">
        <v>173</v>
      </c>
      <c r="I5" t="s">
        <v>169</v>
      </c>
    </row>
    <row r="6">
      <c r="A6" s="25"/>
      <c r="C6" t="s">
        <v>174</v>
      </c>
      <c r="D6" t="s">
        <v>175</v>
      </c>
      <c r="E6" t="s">
        <v>176</v>
      </c>
      <c r="F6" t="s">
        <v>177</v>
      </c>
      <c r="G6" t="s">
        <v>178</v>
      </c>
      <c r="H6" t="s">
        <v>179</v>
      </c>
      <c r="I6" t="s">
        <v>180</v>
      </c>
    </row>
    <row r="7">
      <c r="A7" s="25"/>
      <c r="C7" t="s">
        <v>169</v>
      </c>
      <c r="D7" t="s">
        <v>181</v>
      </c>
      <c r="E7" t="s">
        <v>169</v>
      </c>
      <c r="F7" t="s">
        <v>180</v>
      </c>
      <c r="G7" t="s">
        <v>182</v>
      </c>
      <c r="H7" t="s">
        <v>183</v>
      </c>
      <c r="I7" t="s">
        <v>184</v>
      </c>
    </row>
    <row r="8">
      <c r="A8" s="25"/>
      <c r="C8" t="s">
        <v>185</v>
      </c>
      <c r="D8" t="s">
        <v>186</v>
      </c>
      <c r="E8" t="s">
        <v>187</v>
      </c>
      <c r="F8" t="s">
        <v>188</v>
      </c>
      <c r="G8" t="s">
        <v>189</v>
      </c>
      <c r="H8" t="s">
        <v>190</v>
      </c>
      <c r="I8" t="s">
        <v>188</v>
      </c>
    </row>
    <row r="10">
      <c r="A10" s="25" t="s">
        <v>191</v>
      </c>
      <c r="C10" s="20" t="s">
        <v>3</v>
      </c>
      <c r="D10" s="20" t="s">
        <v>49</v>
      </c>
      <c r="E10" s="20" t="s">
        <v>157</v>
      </c>
      <c r="F10" s="20" t="s">
        <v>158</v>
      </c>
      <c r="G10" s="20" t="s">
        <v>159</v>
      </c>
      <c r="H10" s="20" t="s">
        <v>53</v>
      </c>
      <c r="I10" s="20" t="s">
        <v>160</v>
      </c>
    </row>
    <row r="11">
      <c r="A11" s="25"/>
      <c r="C11" s="47">
        <v>1200</v>
      </c>
      <c r="D11" s="47">
        <v>4.5</v>
      </c>
      <c r="E11" s="47">
        <v>22</v>
      </c>
      <c r="F11" s="47">
        <v>1.08</v>
      </c>
      <c r="G11" s="47">
        <v>3.2</v>
      </c>
      <c r="H11" s="47">
        <v>520</v>
      </c>
      <c r="I11" s="47">
        <v>12</v>
      </c>
    </row>
    <row r="12">
      <c r="A12" s="25"/>
      <c r="C12" s="47">
        <v>118</v>
      </c>
      <c r="D12" s="47">
        <v>42</v>
      </c>
      <c r="E12" s="47">
        <v>12</v>
      </c>
      <c r="F12" s="47">
        <v>84</v>
      </c>
      <c r="G12" s="47">
        <v>58</v>
      </c>
      <c r="H12" s="47">
        <v>68</v>
      </c>
      <c r="I12" s="47">
        <v>55</v>
      </c>
    </row>
    <row r="13">
      <c r="A13" s="25"/>
      <c r="C13" s="47">
        <v>46</v>
      </c>
      <c r="D13" s="47">
        <v>5.2</v>
      </c>
      <c r="E13" s="47">
        <v>340</v>
      </c>
      <c r="F13" s="47">
        <v>2300</v>
      </c>
      <c r="G13" s="47">
        <v>13.5</v>
      </c>
      <c r="H13" s="47">
        <v>12.5</v>
      </c>
      <c r="I13" s="47">
        <v>20</v>
      </c>
    </row>
    <row r="14">
      <c r="A14" s="25"/>
      <c r="C14" s="47">
        <v>78</v>
      </c>
      <c r="D14" s="47">
        <v>1450</v>
      </c>
      <c r="E14" s="47">
        <v>74</v>
      </c>
      <c r="F14" s="47">
        <v>16</v>
      </c>
      <c r="G14" s="47">
        <v>12.2</v>
      </c>
      <c r="H14" s="47">
        <v>9.4</v>
      </c>
      <c r="I14" s="47">
        <v>18</v>
      </c>
    </row>
    <row r="15">
      <c r="A15" s="25"/>
      <c r="C15" s="47">
        <v>14</v>
      </c>
      <c r="D15" s="47">
        <v>31</v>
      </c>
      <c r="E15" s="47">
        <v>28</v>
      </c>
      <c r="F15" s="47">
        <v>13</v>
      </c>
      <c r="G15" s="47">
        <v>7</v>
      </c>
      <c r="H15" s="47">
        <v>11</v>
      </c>
      <c r="I15" s="47">
        <v>14</v>
      </c>
    </row>
  </sheetData>
  <mergeCells count="1">
    <mergeCell ref="A1:I1"/>
  </mergeCells>
</worksheet>
</file>